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 EGRESOS" sheetId="2" r:id="rId6"/>
    <sheet name="EDO R" sheetId="3" r:id="rId7"/>
    <sheet name="INGRESOS" sheetId="4" r:id="rId8"/>
    <sheet name="EGRESOS" sheetId="5" r:id="rId9"/>
    <sheet name="ENERO" sheetId="6" r:id="rId10"/>
    <sheet name="FEBRERO" sheetId="7" r:id="rId11"/>
    <sheet name="MARZO" sheetId="8" r:id="rId12"/>
    <sheet name="ABRIL" sheetId="9" r:id="rId13"/>
    <sheet name="MAYO" sheetId="10" r:id="rId14"/>
    <sheet name="JUNIO" sheetId="11" r:id="rId15"/>
    <sheet name="JULIO" sheetId="12" r:id="rId16"/>
    <sheet name="AGOSTO" sheetId="13" r:id="rId17"/>
    <sheet name="SEPTIEMBRE" sheetId="14" r:id="rId18"/>
    <sheet name="OCTUBRE" sheetId="15" r:id="rId19"/>
    <sheet name="NOVIEMBRE" sheetId="16" r:id="rId20"/>
    <sheet name="DICIEMBRE" sheetId="17" r:id="rId21"/>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<sst xmlns="http://schemas.openxmlformats.org/spreadsheetml/2006/main" uniqueCount="401">
  <si>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</si>
  <si>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</si>
  <si>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</si>
  <si>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</si>
  <si>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 EGRESOS</t>
  </si>
  <si>
    <t>Table 1</t>
  </si>
  <si>
    <t xml:space="preserve">                                     CONSTRUYENDO LAZOS LA ESTANZUELA   2025</t>
  </si>
  <si>
    <t>CTA.  1385</t>
  </si>
  <si>
    <t xml:space="preserve"> </t>
  </si>
  <si>
    <t>ENERO</t>
  </si>
  <si>
    <t>FEBRERO</t>
  </si>
  <si>
    <t>MARZO</t>
  </si>
  <si>
    <t xml:space="preserve">ABRIL </t>
  </si>
  <si>
    <t>MAYO</t>
  </si>
  <si>
    <t>JUNIO</t>
  </si>
  <si>
    <t>JULIO</t>
  </si>
  <si>
    <t>AGOSTO</t>
  </si>
  <si>
    <t>SEPTIEMBRE</t>
  </si>
  <si>
    <t>OCTUBRE</t>
  </si>
  <si>
    <t xml:space="preserve">NOVIEMBRE </t>
  </si>
  <si>
    <t>DICIEMBRE</t>
  </si>
  <si>
    <t>C/n. Atend</t>
  </si>
  <si>
    <t>honorarios</t>
  </si>
  <si>
    <t>C  Anual</t>
  </si>
  <si>
    <t>Imss</t>
  </si>
  <si>
    <t>Sat</t>
  </si>
  <si>
    <t>Nómina</t>
  </si>
  <si>
    <t>traspaso</t>
  </si>
  <si>
    <t>Comisiones</t>
  </si>
  <si>
    <t>Iva. Com</t>
  </si>
  <si>
    <t>papelería</t>
  </si>
  <si>
    <t>campaña</t>
  </si>
  <si>
    <t>Mtto.Mob y Eq</t>
  </si>
  <si>
    <t>Mtto. Edificio</t>
  </si>
  <si>
    <t>Seguros Autos</t>
  </si>
  <si>
    <t>Varios</t>
  </si>
  <si>
    <t>Mtto eq. Ofna</t>
  </si>
  <si>
    <t>EDO R</t>
  </si>
  <si>
    <t>CONTRUYENDO LAZOS LA ESTANZUELA                                ESTADO DE RESULTADOS      ENERO A OCTUBRE 17 DEL 2025</t>
  </si>
  <si>
    <t>Totales</t>
  </si>
  <si>
    <t>C/individuales</t>
  </si>
  <si>
    <t>C Tarjeta</t>
  </si>
  <si>
    <t>Efectivo</t>
  </si>
  <si>
    <t>TOTAL DE INGRESOS</t>
  </si>
  <si>
    <t>Diferencias</t>
  </si>
  <si>
    <t>Saldo positivo</t>
  </si>
  <si>
    <t>Saldo negativo</t>
  </si>
  <si>
    <t>SALDO E CTA</t>
  </si>
  <si>
    <t>INGRESOS</t>
  </si>
  <si>
    <t>CONSTRUYENDO LAZOS LA ESTANZUELA                                           2025</t>
  </si>
  <si>
    <t xml:space="preserve">                   Libro de Entradas y Salidas Correspondiente al Mes de Enero 2025</t>
  </si>
  <si>
    <t>Concepto  CTA 1385</t>
  </si>
  <si>
    <t>BANCOS</t>
  </si>
  <si>
    <t>Bancos</t>
  </si>
  <si>
    <t>Folio/ Cheque</t>
  </si>
  <si>
    <t>NOTARIA</t>
  </si>
  <si>
    <t>TRANSFER</t>
  </si>
  <si>
    <t>EFECTIVO</t>
  </si>
  <si>
    <t>INGRESO</t>
  </si>
  <si>
    <t>TRANSFERENCIA</t>
  </si>
  <si>
    <t>APORTACION DE MIEMBROS</t>
  </si>
  <si>
    <t>MARIA ZENAIDA VAZQUEZ</t>
  </si>
  <si>
    <t>VENTA TPVDB 09346260</t>
  </si>
  <si>
    <t xml:space="preserve">VERONICA ILEANA  CARRILLO </t>
  </si>
  <si>
    <t>LUCIA TAHUIL RODRIGUEZ</t>
  </si>
  <si>
    <t>YOLANDA VILLEDA</t>
  </si>
  <si>
    <t>MAGNOLIA VILLEDA</t>
  </si>
  <si>
    <t>LETY VIDALES</t>
  </si>
  <si>
    <t>JOSÉ DE JESÚS MARRUSOU</t>
  </si>
  <si>
    <t>VENTA  TPVDB9346260</t>
  </si>
  <si>
    <t>COMPENSACION DE SPEI</t>
  </si>
  <si>
    <t>SAIDE LISSETTE GUERRERO A</t>
  </si>
  <si>
    <t>OSCAR GONZÁLEZ ALANIS</t>
  </si>
  <si>
    <t>MARTHA MEZA</t>
  </si>
  <si>
    <t>MARIO LÓPEZ ALATORRE</t>
  </si>
  <si>
    <t>DOLORES GUERVARA LÓPEZ Y NORA</t>
  </si>
  <si>
    <t>DENTISTAS ESPECIALIZADOS MONTERREY</t>
  </si>
  <si>
    <t xml:space="preserve">                                          CONSTRUYENDO LAZOS LA ESTANZUELA AC</t>
  </si>
  <si>
    <t xml:space="preserve">Concepto  CTA </t>
  </si>
  <si>
    <t>Fecha</t>
  </si>
  <si>
    <t>VERÓNICA ILEANA CARRILLO ORTIZ</t>
  </si>
  <si>
    <t>DEV. DE PAGO P/N0 COMP. RASTREO</t>
  </si>
  <si>
    <t>JOSE DE JESÚS MORROSU GARZA</t>
  </si>
  <si>
    <t>VTA TPVCR 9346260</t>
  </si>
  <si>
    <t>DEPOSITO DE EFECTIVO</t>
  </si>
  <si>
    <t>MARIA ZENAIDA</t>
  </si>
  <si>
    <t xml:space="preserve">                   Libro de Entradas y Salidas Correspondiente al Mes de MARZO 2025</t>
  </si>
  <si>
    <t>F-1707</t>
  </si>
  <si>
    <t>LUCIA TAHUIL  RODRIGUEZ</t>
  </si>
  <si>
    <t>LOLIS GUEVARA</t>
  </si>
  <si>
    <t>DEPOSITO EFECTIVO</t>
  </si>
  <si>
    <t>ANTONIO MORALES (CASA DE LA ABUELA)</t>
  </si>
  <si>
    <t>MARIA DEL CARMEN (CASA DE LA ABUELA)</t>
  </si>
  <si>
    <t>JOSÉ RAFAEL GUTIERREZ RANGEL</t>
  </si>
  <si>
    <t>MA. DEL SOCORRO CONTRERAS</t>
  </si>
  <si>
    <t>NORA GALVAN</t>
  </si>
  <si>
    <t>EVY SALAZAR</t>
  </si>
  <si>
    <t>MA. ROSA Y MANUEL</t>
  </si>
  <si>
    <t>VERONICA ILEANA CARRILLO ORTIZ</t>
  </si>
  <si>
    <t>AFIRME</t>
  </si>
  <si>
    <t>VENTA TPVCR AMX 09346260</t>
  </si>
  <si>
    <t>MARIO ALATORRE  LÓPEZ</t>
  </si>
  <si>
    <t>JOSÉ DE JESÚS MARRUSOU GARZA</t>
  </si>
  <si>
    <t>LUIS FERNANDO MARTINEZ DOMINGUEZ</t>
  </si>
  <si>
    <t>ANTONIO MORALES</t>
  </si>
  <si>
    <t>CARMEN OCHOA</t>
  </si>
  <si>
    <t>OSCAR ALANIS</t>
  </si>
  <si>
    <t>MARIA ZENIDA VAZQUEZ  ALVAREZ</t>
  </si>
  <si>
    <t xml:space="preserve">                   Libro de Entradas y Salidas Correspondiente al Mes de Abril  2025</t>
  </si>
  <si>
    <t xml:space="preserve"> EFECTVO</t>
  </si>
  <si>
    <t>FLOR CARCAÑO</t>
  </si>
  <si>
    <t>LUPITA GUEVARA</t>
  </si>
  <si>
    <t>SOCORRO CONTRERAS</t>
  </si>
  <si>
    <t>MARTHA VILLEDA</t>
  </si>
  <si>
    <t>F.1838</t>
  </si>
  <si>
    <t>MARIA DEL CARMEN OCHOA LEAL</t>
  </si>
  <si>
    <t>F.1836</t>
  </si>
  <si>
    <t>JOSE DE JESUS MARROSU GARZA</t>
  </si>
  <si>
    <t>F. 1837</t>
  </si>
  <si>
    <t>ANTONIO MORALES RANGEL</t>
  </si>
  <si>
    <t>F.1835</t>
  </si>
  <si>
    <t>OSCAR GONZALEZ ALANIS</t>
  </si>
  <si>
    <t>F.1840</t>
  </si>
  <si>
    <t>MARIO A LA TORRE</t>
  </si>
  <si>
    <t>F. 1839</t>
  </si>
  <si>
    <t>W CONSLTING ING</t>
  </si>
  <si>
    <t>F. 1956</t>
  </si>
  <si>
    <t>VERONICA ILEANA CARRILLO</t>
  </si>
  <si>
    <t>F. 1952</t>
  </si>
  <si>
    <t xml:space="preserve">                   Libro de Entradas y Salidas Correspondiente al Mes de MAYO 2025</t>
  </si>
  <si>
    <t>F. 2074</t>
  </si>
  <si>
    <t>MARIA ZENAIDA VAZQUEZ  ALVAREZ</t>
  </si>
  <si>
    <t>F. 2073</t>
  </si>
  <si>
    <t>INES CHI</t>
  </si>
  <si>
    <t>DOLORES LOPEZ</t>
  </si>
  <si>
    <t>FLORINDA CARCAÑO</t>
  </si>
  <si>
    <t>MARTAH MEZA</t>
  </si>
  <si>
    <t>VTA TPVDB 9346260</t>
  </si>
  <si>
    <t>F. 1965</t>
  </si>
  <si>
    <t>F. 1964</t>
  </si>
  <si>
    <t>MARIO LOPEZ ALATORRE</t>
  </si>
  <si>
    <t>F.1962</t>
  </si>
  <si>
    <t>F. 1961</t>
  </si>
  <si>
    <t>MA. DEL CARMEN OCHOA</t>
  </si>
  <si>
    <t>F. 1966  $ 1250.00+   F. 1967   $ 500.00</t>
  </si>
  <si>
    <t xml:space="preserve">                   Libro de Entradas y Salidas Correspondiente al Mes de JUNIO 2025</t>
  </si>
  <si>
    <t>ZENAIDA VAZQUEZ ALVAREZ</t>
  </si>
  <si>
    <t>GEORGINA Y MANUEL MARTINEZ</t>
  </si>
  <si>
    <t>ABASTECEDORA DE OFICINA</t>
  </si>
  <si>
    <t>DEV DE SPEI</t>
  </si>
  <si>
    <t>LUPITA GUEVARA Y REYNA ESQUIVEL</t>
  </si>
  <si>
    <t>VTA TPVCR AMX 09346260</t>
  </si>
  <si>
    <t>VTA TPVDB  09346260</t>
  </si>
  <si>
    <t>MARIO LOPEZ A LA TORRE</t>
  </si>
  <si>
    <t>INES CHI SANTANDER</t>
  </si>
  <si>
    <t>MERCEDES YADIRA VILLAFRANCO</t>
  </si>
  <si>
    <t>LAURA MENDIETA</t>
  </si>
  <si>
    <t>VTA TPVCR AMX 09346260 BAN</t>
  </si>
  <si>
    <t>VTA. TPVCR AMX 0934620 BAN</t>
  </si>
  <si>
    <t>VTA. TPBVCR AMX 09345260 BAN</t>
  </si>
  <si>
    <t>VTA. TPVCR AMX 09346260</t>
  </si>
  <si>
    <t>DEP. EN EFECTIVO</t>
  </si>
  <si>
    <t>MA. DEL CARMEN OCHOA LEAL</t>
  </si>
  <si>
    <t xml:space="preserve">                   Libro de Entradas y Salidas Correspondiente al Mes de JULIO 2025</t>
  </si>
  <si>
    <t>JOSE LUIS GONZALEZ</t>
  </si>
  <si>
    <t>MARIA ZENAIDA VAZQUEZ ALVAREZ</t>
  </si>
  <si>
    <t>DOLORES LOPEZ GUEVARA</t>
  </si>
  <si>
    <t>VENTA TPVCR 09346260</t>
  </si>
  <si>
    <t>SPEI DEV. EXCEDE EL LIMITE DE SALDO</t>
  </si>
  <si>
    <t xml:space="preserve">FLORINDA CARCAÑO </t>
  </si>
  <si>
    <t xml:space="preserve">                   Libro de Entradas y Salidas Correspondiente al Mes de AGOSTO 2025</t>
  </si>
  <si>
    <t>DEP. EN EFVO.</t>
  </si>
  <si>
    <t>DEV. DE PAGO ASEGURADORA ZURICH</t>
  </si>
  <si>
    <t>VENTA TPVBD 09346260</t>
  </si>
  <si>
    <t xml:space="preserve">                   Libro de Entradas y Salidas Correspondiente al Mes de SEPTIEMBRE 2025</t>
  </si>
  <si>
    <t>FLORINDA CARCAÑO SALAZAR</t>
  </si>
  <si>
    <t>APORTACION  DE MIEMBROS</t>
  </si>
  <si>
    <t>Antonio Morles 2821393438160113229</t>
  </si>
  <si>
    <t>DEV. NOMINA DEL 150925</t>
  </si>
  <si>
    <t>MARIA DEL CARMEN OCHOA</t>
  </si>
  <si>
    <t>ELIAS MARTINEZ  DN. ANUAL 2026</t>
  </si>
  <si>
    <t>TOREO MOTORS SA DE CV</t>
  </si>
  <si>
    <t>DEV. DEPOSITO EN GARANTIA</t>
  </si>
  <si>
    <t xml:space="preserve">                   Libro de Entradas y Salidas Correspondiente al Mes de OCTUBRE 2025</t>
  </si>
  <si>
    <t>REYNA ESQUIVEL</t>
  </si>
  <si>
    <t>VENTA TPVCB 09346260</t>
  </si>
  <si>
    <t>TOTALES</t>
  </si>
  <si>
    <t xml:space="preserve">                   Libro de Entradas y Salidas Correspondiente al Mes de NOVIEMBRE 2025</t>
  </si>
  <si>
    <t xml:space="preserve">                   Libro de Entradas y Salidas Correspondiente al Mes de DICIEMBRE 2025</t>
  </si>
  <si>
    <t>EGRESOS</t>
  </si>
  <si>
    <t>Concepto  CTA 1385 AFIRME</t>
  </si>
  <si>
    <t>CHEQUES</t>
  </si>
  <si>
    <t>CC NO ATENDIDO 401966 2832</t>
  </si>
  <si>
    <t>CC NO ATENDIDO 591707 2832</t>
  </si>
  <si>
    <t>IVA VENTA  TPVDB9346260</t>
  </si>
  <si>
    <t>SAT</t>
  </si>
  <si>
    <t>042507EQ500044844499</t>
  </si>
  <si>
    <t>NOSOTROS MISMOS</t>
  </si>
  <si>
    <t>DISPERSION DE FONDOS NOM</t>
  </si>
  <si>
    <t>COMISION DE DISPESION DE FONDOS</t>
  </si>
  <si>
    <t>IVA DISPERSION DE FONDOS</t>
  </si>
  <si>
    <t>JBC CONTADORES PUB Y AUD</t>
  </si>
  <si>
    <t>CARGO ANUAL</t>
  </si>
  <si>
    <t xml:space="preserve">CONSTRUYENDO LAZOS </t>
  </si>
  <si>
    <t>TRASPASO ENTRE CUENTAS</t>
  </si>
  <si>
    <t>COMISION ANUALIDAD DEL TOKEN</t>
  </si>
  <si>
    <t>IVA DE COMISION</t>
  </si>
  <si>
    <t>ABASTECEDORA DE OFNA</t>
  </si>
  <si>
    <t>PAPELERIA</t>
  </si>
  <si>
    <t>PAGO DE QUINCENA</t>
  </si>
  <si>
    <t>COMISION</t>
  </si>
  <si>
    <t>IVA</t>
  </si>
  <si>
    <t>COMISION VTA TPVCR 9346260</t>
  </si>
  <si>
    <t>IVA COMISION VTA TPVCR 9346260</t>
  </si>
  <si>
    <t>COM ANUALIDAD DEL TOKEN</t>
  </si>
  <si>
    <t>IVA DE CCOM DE TOKEN</t>
  </si>
  <si>
    <t>EVENTO  NC SA DE CV</t>
  </si>
  <si>
    <t>ANTI DESAYUNO DE CAMPAÑA</t>
  </si>
  <si>
    <t>CONSTRUUYENDO LAZOS</t>
  </si>
  <si>
    <t>DISPERSION DE NÓMINA</t>
  </si>
  <si>
    <t xml:space="preserve">COMISION </t>
  </si>
  <si>
    <t>COMISION BANCARIA</t>
  </si>
  <si>
    <t>CONSTRUYENDO LAZOS</t>
  </si>
  <si>
    <t>EVENTOS NC</t>
  </si>
  <si>
    <t>DESAYUNO DE CAMPAÑA</t>
  </si>
  <si>
    <t>CONSTUYENDO LAZOS</t>
  </si>
  <si>
    <t>MTTO ANUAL  SERVICIO</t>
  </si>
  <si>
    <t>IMPUESTOS MES FEBRERO  ISR</t>
  </si>
  <si>
    <t>IMPUESTO RET</t>
  </si>
  <si>
    <t>IMSS</t>
  </si>
  <si>
    <t>PAGO DE IMSS</t>
  </si>
  <si>
    <t>JBC  DESPACHO DE CONTADORES</t>
  </si>
  <si>
    <t>HONORARIOS DE MAQUILA C</t>
  </si>
  <si>
    <t>NOSTROS MISMOS</t>
  </si>
  <si>
    <t>COMISION POR DISPERSION DE FONDOS</t>
  </si>
  <si>
    <t>COMVTA TPVCR AMX 09346260</t>
  </si>
  <si>
    <t>IVA DE COMVTA TPVCR 09346260</t>
  </si>
  <si>
    <t>VENTA TPVCR 0946260</t>
  </si>
  <si>
    <t>ABASTECEDORa DE OFICINA SACV</t>
  </si>
  <si>
    <t>PAPELERIA OFICINA</t>
  </si>
  <si>
    <t>SUELDOS</t>
  </si>
  <si>
    <t>COMISIONES</t>
  </si>
  <si>
    <t>IVA DE COMISION TRANSF</t>
  </si>
  <si>
    <t>COMISIONES MENSUAL</t>
  </si>
  <si>
    <t>IVA DE COMISIONES</t>
  </si>
  <si>
    <t xml:space="preserve">                   Libro de Entradas y Salidas Correspondiente al Mes de ABRIL 2025</t>
  </si>
  <si>
    <t>LABORATORIO Y ENSAYE SA</t>
  </si>
  <si>
    <t>RAUL SANCHEZ QUISTIAN</t>
  </si>
  <si>
    <t>ANTICIPO DE SONIDO DE TOLDO PARROQUIA</t>
  </si>
  <si>
    <t>PAGO TOT.  DE SONIDO DE TOLDO PARROQUIA</t>
  </si>
  <si>
    <t>DISPERCIÓN DE FONDOS</t>
  </si>
  <si>
    <t>IVA POR COMISION DISPERSIÓN</t>
  </si>
  <si>
    <t>ANI ANTONIO  ANDONIE</t>
  </si>
  <si>
    <t>SEÑALITICA</t>
  </si>
  <si>
    <t>DIPERSION DE NOMINA</t>
  </si>
  <si>
    <t>IVA DE COMISION DE DISPERSION</t>
  </si>
  <si>
    <t>comisiones</t>
  </si>
  <si>
    <t>Afirme</t>
  </si>
  <si>
    <t>iva de comisiones</t>
  </si>
  <si>
    <t xml:space="preserve">  </t>
  </si>
  <si>
    <t xml:space="preserve">DORA ALICIA RESENDIZ  LOZANO </t>
  </si>
  <si>
    <t xml:space="preserve">LAMBRIN PARA OFICINA </t>
  </si>
  <si>
    <t>DISPESION DE NOMINA</t>
  </si>
  <si>
    <t>COMISION POR DISOPERCION</t>
  </si>
  <si>
    <t>IVA DE DISPERSIÓN</t>
  </si>
  <si>
    <t>COM VTA TPVDB 9346260</t>
  </si>
  <si>
    <t>IVA VTA TPVDB 9346260</t>
  </si>
  <si>
    <t>DISPERSIÓN DE NOMINA</t>
  </si>
  <si>
    <t>ABASTECEDORA DE OFINA SA DE CV</t>
  </si>
  <si>
    <t>DISPERSION DE FONDOS</t>
  </si>
  <si>
    <t>COMISION DISPERSION DE FONDOS</t>
  </si>
  <si>
    <t>IVA COM. CARGO ANTERIOR</t>
  </si>
  <si>
    <t>IVA COMVTA TPVCR AMX 09346260</t>
  </si>
  <si>
    <t>COMVTA  TPVCR 09346260</t>
  </si>
  <si>
    <t>IVA COMVTA TPVCR 09346260</t>
  </si>
  <si>
    <t>COMVTA TPVDB 09346260</t>
  </si>
  <si>
    <t>IVA COMVTA TPVDB 09346260</t>
  </si>
  <si>
    <t>ANI ANTONIO ANDONIEE ZOGBI</t>
  </si>
  <si>
    <t>SEÑELITICA (SUM. DE SEÑALAMIENTO)</t>
  </si>
  <si>
    <t>COMVTA TPVCR 9346260</t>
  </si>
  <si>
    <t>COMTPVDB 09346260</t>
  </si>
  <si>
    <t>IVA COMVTA TPVCR AMX09346260</t>
  </si>
  <si>
    <t>COMVTA TPVCR 09346260</t>
  </si>
  <si>
    <t>DISPERSION DE NOMINA</t>
  </si>
  <si>
    <t>COM. DISPERSION DE FONDOS</t>
  </si>
  <si>
    <t>COMSIONES</t>
  </si>
  <si>
    <t>ARFIME</t>
  </si>
  <si>
    <t>BANORTE</t>
  </si>
  <si>
    <t>COM. E IVA DISPERSION DE FONDOS</t>
  </si>
  <si>
    <t>COMVTA TPVCR AMX 096346260</t>
  </si>
  <si>
    <t>IVA COMVTA TPVCR AMX 096346260</t>
  </si>
  <si>
    <t>JORGE DANIEL MEDELLIN L.</t>
  </si>
  <si>
    <t>PAGO DE SERVICIO DE ESCOMBRO</t>
  </si>
  <si>
    <t>COM. E IVA COMVTA TPVCR09346260</t>
  </si>
  <si>
    <t>PRUEBA DE REFERENCIA</t>
  </si>
  <si>
    <t>RETIRO DE ESCOMBRO 20 CAMIONES</t>
  </si>
  <si>
    <t>SERV. DE LIMPIEZA DE TERRENO</t>
  </si>
  <si>
    <t xml:space="preserve"> A NOSOTROS MISMOS</t>
  </si>
  <si>
    <t xml:space="preserve">                   Libro de Entradas y Salidas Correspondiente al Mes de Agosto 2025</t>
  </si>
  <si>
    <t>ZURICH ASEGURADORA MEXICANA</t>
  </si>
  <si>
    <t>SEGURO DE CAMIONETA AVANZA</t>
  </si>
  <si>
    <t>A NOSOTROS MISMOS</t>
  </si>
  <si>
    <t>COM. E IVA DE DISPERSION DE FONDOS</t>
  </si>
  <si>
    <t>COM. E IVA VTA. TPVCR 09346260</t>
  </si>
  <si>
    <t>COM. E IVA VENTA TPVDB 09346260</t>
  </si>
  <si>
    <t>COM. E IVA VENTA TPVCR AMX 09346260</t>
  </si>
  <si>
    <t>ELECTRO 2000</t>
  </si>
  <si>
    <t>ARREGLO DE FALLA DE INTERRUPTOR CFE</t>
  </si>
  <si>
    <t>ASEGURADORA MEXICANA ZURICH</t>
  </si>
  <si>
    <t>SEGURO CAMIONETA AVANZA</t>
  </si>
  <si>
    <t>JORGE DANIEL MEDELLIN LIÑAN</t>
  </si>
  <si>
    <t>PAGO DE MURO Y SITE DE CAMARAS</t>
  </si>
  <si>
    <t>JOSE EVERT CRUZ OLGUIN</t>
  </si>
  <si>
    <t>INSTALACION DE CLIMAS</t>
  </si>
  <si>
    <t>COM. E IVA VENTA TPVCR  09346260</t>
  </si>
  <si>
    <t>COM. E IVA MEMB. PAQ.</t>
  </si>
  <si>
    <t xml:space="preserve">                   Libro de Entradas y Salidas Correspondiente al Mes de Septiembre 2025</t>
  </si>
  <si>
    <t>LONAS Y ESTRUCTURAS CANTU</t>
  </si>
  <si>
    <t>ANT. RENTA DE LONAS, BENDICION 1 PIED.</t>
  </si>
  <si>
    <t>RALIGU SA DE CV</t>
  </si>
  <si>
    <t>TRABAJO DE ESCALINATAS Y BANQUETES</t>
  </si>
  <si>
    <t xml:space="preserve">JOSE RAMIRO </t>
  </si>
  <si>
    <t>COMPRA DE TONER</t>
  </si>
  <si>
    <t>SANI REY</t>
  </si>
  <si>
    <t>RENTA DE SANITARIOS</t>
  </si>
  <si>
    <t>IVA COMVTA TPVCR AMX</t>
  </si>
  <si>
    <t>COMISION E IVA DISPERSION DE FONDOS</t>
  </si>
  <si>
    <t>ELSA DEYANIRA CABALLERO CANTU</t>
  </si>
  <si>
    <t>RENTA DE SONIDO PARA EVENTO 1a. PIED.</t>
  </si>
  <si>
    <t>PAGO RENTA DE CAMIONETA</t>
  </si>
  <si>
    <t>DEPOSITO EN GARANTIA DE RENTA CAM.</t>
  </si>
  <si>
    <t>ACEROS Y MATERIALES MACH SA DE CV</t>
  </si>
  <si>
    <t>PAGO DE GRUA</t>
  </si>
  <si>
    <t xml:space="preserve">ZURICH ASEGURADORA MEXICANA </t>
  </si>
  <si>
    <t>PAGO SEGURO DE CAMIONETA AVANZA</t>
  </si>
  <si>
    <t>NOHEMA DIAZ MARTINEZ</t>
  </si>
  <si>
    <t>RENTA DE SILLAS Y TOLDO</t>
  </si>
  <si>
    <t>JORGE DANIEL MEDELLIN</t>
  </si>
  <si>
    <t>FUMIGACION DE TERMITA</t>
  </si>
  <si>
    <t xml:space="preserve">GLORIA ZAPATA </t>
  </si>
  <si>
    <t>PAGO DE LONAS</t>
  </si>
  <si>
    <t>COM POR MEMBRESIA</t>
  </si>
  <si>
    <t xml:space="preserve">                   Libro de Entradas y Salidas Correspondiente al Mes de Octubre 2025</t>
  </si>
  <si>
    <t>DANIEL FLORES ZUÑIGA</t>
  </si>
  <si>
    <t>CAMARAS, HDMI</t>
  </si>
  <si>
    <t>GLORIA ZAPATA</t>
  </si>
  <si>
    <t>PAGO DE PAPELERIA</t>
  </si>
  <si>
    <t>TRASPASO A CUENTA PROPIA</t>
  </si>
  <si>
    <t>COMISION E IVA DE DISPERSION DE FONDOS</t>
  </si>
  <si>
    <t>COMVTA TPVCB 09346260</t>
  </si>
  <si>
    <t>IVA COMVTA TPVCB 09346260</t>
  </si>
  <si>
    <t>COMVTA TPVCR AMX</t>
  </si>
  <si>
    <t>PAGO DE FACTURAS 1515 Y 1516</t>
  </si>
  <si>
    <t>SERVICIOS DE ADMON. Y GESTION,SADE CV</t>
  </si>
  <si>
    <t>22 PANELES SOLARES DE 620 W</t>
  </si>
  <si>
    <t>CONSTRUYENO LAZOS SA</t>
  </si>
  <si>
    <t>DANIEL MEDELLIN</t>
  </si>
  <si>
    <t>SUMM E INSTALACION DE BLOCK BARDA</t>
  </si>
  <si>
    <t>PLANO GEOREFRENCIADO</t>
  </si>
  <si>
    <t>DANIEL FLORES MEDELLIN</t>
  </si>
  <si>
    <t>FUENTE DE PODER PARA CAMARAS</t>
  </si>
  <si>
    <t xml:space="preserve">                   Libro de Entradas y Salidas Correspondiente al Mes de Noviembre 2025</t>
  </si>
  <si>
    <t>LUPITA neto</t>
  </si>
  <si>
    <t>ROSY    neto</t>
  </si>
  <si>
    <t>Tipo</t>
  </si>
  <si>
    <t>Cheques</t>
  </si>
  <si>
    <t>SALDO</t>
  </si>
  <si>
    <t>ingreso</t>
  </si>
  <si>
    <t>egreso</t>
  </si>
  <si>
    <t>CONTRUYENDO LAZOS LA EST</t>
  </si>
  <si>
    <t>COM VTA TPVDB9346260</t>
  </si>
  <si>
    <t>CARGOS</t>
  </si>
  <si>
    <t>BANCO</t>
  </si>
  <si>
    <t>SIN RECIBO C AFI</t>
  </si>
  <si>
    <t>AF. TD,  TC</t>
  </si>
  <si>
    <t>CAR TIMBRADO</t>
  </si>
  <si>
    <t>AF.  AMEX</t>
  </si>
  <si>
    <t>TRANF. DIRECTO PARA T</t>
  </si>
  <si>
    <t>P. TD,AMEX</t>
  </si>
  <si>
    <t>TRANF S/T DIR</t>
  </si>
  <si>
    <t>P. AMEX</t>
  </si>
  <si>
    <t>P. TIMBRAR TRANS</t>
  </si>
  <si>
    <t xml:space="preserve">                   Libro de Entradas y Salidas Correspondiente al Mes de Febrero 2025</t>
  </si>
  <si>
    <t>DISPERCION DE NÓMINA</t>
  </si>
  <si>
    <t>P. TIMBRAR TRANS CP</t>
  </si>
  <si>
    <t>ABRIL</t>
  </si>
  <si>
    <t>F. 2075</t>
  </si>
  <si>
    <t>F. 2077</t>
  </si>
  <si>
    <t>F. 2078</t>
  </si>
  <si>
    <t>IVA COMISIONS</t>
  </si>
  <si>
    <t>FAC. 2191</t>
  </si>
  <si>
    <t>F. 2191</t>
  </si>
  <si>
    <t>F. 2199</t>
  </si>
  <si>
    <t>F. 2218</t>
  </si>
  <si>
    <t>F. 2219</t>
  </si>
  <si>
    <t>DEV. SPEI</t>
  </si>
  <si>
    <t>PUBLICO GRAL. TRANSF</t>
  </si>
  <si>
    <t>F. 2217</t>
  </si>
  <si>
    <t>RECUPERACION</t>
  </si>
  <si>
    <t>B/NVIG</t>
  </si>
  <si>
    <t>NOVIEMBRE</t>
  </si>
</sst>
</file>

<file path=xl/styles.xml><?xml version="1.0" encoding="utf-8"?>
<styleSheet xmlns="http://schemas.openxmlformats.org/spreadsheetml/2006/main">
  <numFmts count="2">
    <numFmt numFmtId="0" formatCode="General"/>
    <numFmt numFmtId="59" formatCode="&quot; &quot;&quot;$&quot;* #,##0.00&quot; &quot;;&quot;-&quot;&quot;$&quot;* #,##0.00&quot; &quot;;&quot; &quot;&quot;$&quot;* &quot;-&quot;??&quot; &quot;"/>
  </numFmts>
  <fonts count="1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26"/>
      <color indexed="8"/>
      <name val="Calibri"/>
    </font>
    <font>
      <b val="1"/>
      <sz val="11"/>
      <color indexed="8"/>
      <name val="Calibri"/>
    </font>
    <font>
      <b val="1"/>
      <sz val="10"/>
      <color indexed="8"/>
      <name val="Calibri"/>
    </font>
    <font>
      <b val="1"/>
      <sz val="12"/>
      <color indexed="8"/>
      <name val="Calibri"/>
    </font>
    <font>
      <b val="1"/>
      <sz val="20"/>
      <color indexed="8"/>
      <name val="Calibri"/>
    </font>
    <font>
      <b val="1"/>
      <sz val="16"/>
      <color indexed="8"/>
      <name val="Calibri"/>
    </font>
    <font>
      <b val="1"/>
      <sz val="14"/>
      <color indexed="8"/>
      <name val="Calibri"/>
    </font>
    <font>
      <sz val="10"/>
      <color indexed="8"/>
      <name val="Amerigarmnd bt"/>
    </font>
    <font>
      <b val="1"/>
      <sz val="16"/>
      <color indexed="8"/>
      <name val="Amerigarmnd bt"/>
    </font>
    <font>
      <b val="1"/>
      <sz val="14"/>
      <color indexed="8"/>
      <name val="Amerigarmnd bt"/>
    </font>
    <font>
      <b val="1"/>
      <sz val="11"/>
      <color indexed="8"/>
      <name val="Arial Narrow"/>
    </font>
    <font>
      <b val="1"/>
      <sz val="7"/>
      <color indexed="8"/>
      <name val="Arial Narrow"/>
    </font>
    <font>
      <b val="1"/>
      <sz val="9"/>
      <color indexed="8"/>
      <name val="Arial Narrow"/>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62">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8"/>
      </bottom>
      <diagonal/>
    </border>
    <border>
      <left style="thin">
        <color indexed="12"/>
      </left>
      <right style="medium">
        <color indexed="8"/>
      </right>
      <top style="thin">
        <color indexed="12"/>
      </top>
      <bottom style="thin">
        <color indexed="12"/>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thin">
        <color indexed="12"/>
      </right>
      <top style="medium">
        <color indexed="8"/>
      </top>
      <bottom style="thin">
        <color indexed="8"/>
      </bottom>
      <diagonal/>
    </border>
    <border>
      <left style="thin">
        <color indexed="12"/>
      </left>
      <right style="thin">
        <color indexed="12"/>
      </right>
      <top style="medium">
        <color indexed="8"/>
      </top>
      <bottom style="thin">
        <color indexed="8"/>
      </bottom>
      <diagonal/>
    </border>
    <border>
      <left style="thin">
        <color indexed="12"/>
      </left>
      <right style="medium">
        <color indexed="8"/>
      </right>
      <top style="medium">
        <color indexed="8"/>
      </top>
      <bottom style="thin">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medium">
        <color indexed="8"/>
      </right>
      <top style="thin">
        <color indexed="8"/>
      </top>
      <bottom style="thin">
        <color indexed="12"/>
      </bottom>
      <diagonal/>
    </border>
    <border>
      <left style="medium">
        <color indexed="8"/>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style="thin">
        <color indexed="8"/>
      </left>
      <right style="medium">
        <color indexed="8"/>
      </right>
      <top style="thin">
        <color indexed="12"/>
      </top>
      <bottom style="thin">
        <color indexed="12"/>
      </bottom>
      <diagonal/>
    </border>
    <border>
      <left style="medium">
        <color indexed="8"/>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medium">
        <color indexed="8"/>
      </left>
      <right style="thin">
        <color indexed="12"/>
      </right>
      <top style="thin">
        <color indexed="12"/>
      </top>
      <bottom style="medium">
        <color indexed="8"/>
      </bottom>
      <diagonal/>
    </border>
    <border>
      <left style="thin">
        <color indexed="12"/>
      </left>
      <right style="medium">
        <color indexed="8"/>
      </right>
      <top style="thin">
        <color indexed="12"/>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2"/>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8"/>
      </right>
      <top style="thin">
        <color indexed="12"/>
      </top>
      <bottom style="thin">
        <color indexed="12"/>
      </bottom>
      <diagonal/>
    </border>
    <border>
      <left style="thin">
        <color indexed="12"/>
      </left>
      <right style="thin">
        <color indexed="12"/>
      </right>
      <top style="thin">
        <color indexed="8"/>
      </top>
      <bottom style="medium">
        <color indexed="8"/>
      </bottom>
      <diagonal/>
    </border>
    <border>
      <left style="thin">
        <color indexed="12"/>
      </left>
      <right style="thin">
        <color indexed="8"/>
      </right>
      <top style="thin">
        <color indexed="8"/>
      </top>
      <bottom style="medium">
        <color indexed="8"/>
      </bottom>
      <diagonal/>
    </border>
    <border>
      <left style="thin">
        <color indexed="12"/>
      </left>
      <right style="thin">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thin">
        <color indexed="12"/>
      </left>
      <right style="thin">
        <color indexed="8"/>
      </right>
      <top style="thin">
        <color indexed="8"/>
      </top>
      <bottom style="thin">
        <color indexed="12"/>
      </bottom>
      <diagonal/>
    </border>
    <border>
      <left style="thin">
        <color indexed="12"/>
      </left>
      <right style="thin">
        <color indexed="8"/>
      </right>
      <top style="thin">
        <color indexed="12"/>
      </top>
      <bottom style="medium">
        <color indexed="8"/>
      </bottom>
      <diagonal/>
    </border>
    <border>
      <left style="thin">
        <color indexed="8"/>
      </left>
      <right>
        <color indexed="8"/>
      </right>
      <top style="thin">
        <color indexed="8"/>
      </top>
      <bottom style="thin">
        <color indexed="8"/>
      </bottom>
      <diagonal/>
    </border>
    <border>
      <left>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color indexed="8"/>
      </left>
      <right style="thin">
        <color indexed="12"/>
      </right>
      <top style="thin">
        <color indexed="12"/>
      </top>
      <bottom style="thin">
        <color indexed="12"/>
      </bottom>
      <diagonal/>
    </border>
    <border>
      <left style="medium">
        <color indexed="8"/>
      </left>
      <right style="thin">
        <color indexed="12"/>
      </right>
      <top style="medium">
        <color indexed="8"/>
      </top>
      <bottom style="thin">
        <color indexed="12"/>
      </bottom>
      <diagonal/>
    </border>
    <border>
      <left style="thin">
        <color indexed="12"/>
      </left>
      <right style="medium">
        <color indexed="8"/>
      </right>
      <top style="medium">
        <color indexed="8"/>
      </top>
      <bottom style="thin">
        <color indexed="12"/>
      </bottom>
      <diagonal/>
    </border>
    <border>
      <left style="thin">
        <color indexed="12"/>
      </left>
      <right style="thin">
        <color indexed="12"/>
      </right>
      <top style="thin">
        <color indexed="12"/>
      </top>
      <bottom/>
      <diagonal/>
    </border>
    <border>
      <left style="thin">
        <color indexed="12"/>
      </left>
      <right style="medium">
        <color indexed="8"/>
      </right>
      <top style="thin">
        <color indexed="12"/>
      </top>
      <bottom/>
      <diagonal/>
    </border>
    <border>
      <left style="medium">
        <color indexed="8"/>
      </left>
      <right/>
      <top style="thin">
        <color indexed="12"/>
      </top>
      <bottom style="thin">
        <color indexed="12"/>
      </bottom>
      <diagonal/>
    </border>
    <border>
      <left/>
      <right/>
      <top/>
      <bottom/>
      <diagonal/>
    </border>
    <border>
      <left/>
      <right style="medium">
        <color indexed="8"/>
      </right>
      <top/>
      <bottom/>
      <diagonal/>
    </border>
    <border>
      <left/>
      <right style="medium">
        <color indexed="8"/>
      </right>
      <top/>
      <bottom style="thin">
        <color indexed="12"/>
      </bottom>
      <diagonal/>
    </border>
    <border>
      <left/>
      <right style="medium">
        <color indexed="8"/>
      </right>
      <top style="thin">
        <color indexed="12"/>
      </top>
      <bottom style="thin">
        <color indexed="12"/>
      </bottom>
      <diagonal/>
    </border>
    <border>
      <left style="thin">
        <color indexed="12"/>
      </left>
      <right style="thin">
        <color indexed="12"/>
      </right>
      <top/>
      <bottom/>
      <diagonal/>
    </border>
    <border>
      <left style="medium">
        <color indexed="8"/>
      </left>
      <right/>
      <top style="thin">
        <color indexed="12"/>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12"/>
      </left>
      <right style="thin">
        <color indexed="12"/>
      </right>
      <top style="thin">
        <color indexed="8"/>
      </top>
      <bottom/>
      <diagonal/>
    </border>
    <border>
      <left style="thin">
        <color indexed="12"/>
      </left>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medium">
        <color indexed="8"/>
      </top>
      <bottom style="medium">
        <color indexed="8"/>
      </bottom>
      <diagonal/>
    </border>
  </borders>
  <cellStyleXfs count="1">
    <xf numFmtId="0" fontId="0" applyNumberFormat="0" applyFont="1" applyFill="0" applyBorder="0" applyAlignment="1" applyProtection="0">
      <alignment vertical="bottom"/>
    </xf>
  </cellStyleXfs>
  <cellXfs count="20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borderId="4" applyNumberFormat="1" applyFont="1" applyFill="0" applyBorder="1" applyAlignment="1" applyProtection="0">
      <alignment vertical="bottom"/>
    </xf>
    <xf numFmtId="0" fontId="6" borderId="5"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0" borderId="10" applyNumberFormat="1" applyFont="1" applyFill="0" applyBorder="1" applyAlignment="1" applyProtection="0">
      <alignment horizontal="center" vertical="bottom"/>
    </xf>
    <xf numFmtId="0" fontId="0" borderId="11" applyNumberFormat="0" applyFont="1" applyFill="0" applyBorder="1" applyAlignment="1" applyProtection="0">
      <alignment horizontal="center" vertical="bottom"/>
    </xf>
    <xf numFmtId="49" fontId="0" borderId="11" applyNumberFormat="1" applyFont="1" applyFill="0" applyBorder="1" applyAlignment="1" applyProtection="0">
      <alignment horizontal="center" vertical="bottom"/>
    </xf>
    <xf numFmtId="49" fontId="0" borderId="12" applyNumberFormat="1" applyFont="1" applyFill="0" applyBorder="1" applyAlignment="1" applyProtection="0">
      <alignment horizontal="center"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0" borderId="14" applyNumberFormat="1" applyFont="1" applyFill="0" applyBorder="1" applyAlignment="1" applyProtection="0">
      <alignment vertical="bottom"/>
    </xf>
    <xf numFmtId="49" fontId="0" borderId="15" applyNumberFormat="1" applyFont="1" applyFill="0" applyBorder="1" applyAlignment="1" applyProtection="0">
      <alignment vertical="bottom"/>
    </xf>
    <xf numFmtId="49" fontId="0" borderId="9"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7" borderId="1" applyNumberFormat="0" applyFont="1" applyFill="0" applyBorder="1" applyAlignment="1" applyProtection="0">
      <alignment horizontal="center" vertical="bottom"/>
    </xf>
    <xf numFmtId="0" fontId="8" borderId="1" applyNumberFormat="0" applyFont="1" applyFill="0" applyBorder="1" applyAlignment="1" applyProtection="0">
      <alignment horizontal="center" vertical="bottom"/>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49" fontId="0" borderId="17" applyNumberFormat="1" applyFont="1" applyFill="0" applyBorder="1" applyAlignment="1" applyProtection="0">
      <alignment horizontal="center" vertical="bottom"/>
    </xf>
    <xf numFmtId="49" fontId="7" borderId="10" applyNumberFormat="1" applyFont="1" applyFill="0" applyBorder="1" applyAlignment="1" applyProtection="0">
      <alignment horizontal="center" vertical="bottom"/>
    </xf>
    <xf numFmtId="59" fontId="0" borderId="11" applyNumberFormat="1" applyFont="1" applyFill="0" applyBorder="1" applyAlignment="1" applyProtection="0">
      <alignment horizontal="center" vertical="bottom"/>
    </xf>
    <xf numFmtId="59" fontId="0" borderId="11"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59" fontId="9" borderId="11" applyNumberFormat="1" applyFont="1" applyFill="0" applyBorder="1" applyAlignment="1" applyProtection="0">
      <alignment horizontal="center" vertical="bottom"/>
    </xf>
    <xf numFmtId="59" fontId="0" borderId="20" applyNumberFormat="1" applyFont="1" applyFill="0" applyBorder="1" applyAlignment="1" applyProtection="0">
      <alignment vertical="bottom"/>
    </xf>
    <xf numFmtId="59" fontId="0" borderId="14" applyNumberFormat="1" applyFont="1" applyFill="0" applyBorder="1" applyAlignment="1" applyProtection="0">
      <alignment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0" applyNumberFormat="1" applyFont="1" applyFill="0" applyBorder="0" applyAlignment="1" applyProtection="0">
      <alignment vertical="bottom"/>
    </xf>
    <xf numFmtId="49" fontId="10" borderId="4" applyNumberFormat="1"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11" borderId="11" applyNumberFormat="1" applyFont="1" applyFill="0" applyBorder="1" applyAlignment="1" applyProtection="0">
      <alignment horizontal="center" vertical="bottom"/>
    </xf>
    <xf numFmtId="49" fontId="11" borderId="11" applyNumberFormat="1" applyFont="1" applyFill="0" applyBorder="1" applyAlignment="1" applyProtection="0">
      <alignment horizontal="center" vertical="bottom"/>
    </xf>
    <xf numFmtId="0" fontId="11" borderId="11" applyNumberFormat="0" applyFont="1" applyFill="0" applyBorder="1" applyAlignment="1" applyProtection="0">
      <alignment horizontal="center" vertical="bottom"/>
    </xf>
    <xf numFmtId="49" fontId="12" borderId="12" applyNumberFormat="1" applyFont="1" applyFill="0" applyBorder="1" applyAlignment="1" applyProtection="0">
      <alignment horizontal="center" vertical="bottom"/>
    </xf>
    <xf numFmtId="49" fontId="12" borderId="10" applyNumberFormat="1" applyFont="1" applyFill="0" applyBorder="1" applyAlignment="1" applyProtection="0">
      <alignment vertical="bottom"/>
    </xf>
    <xf numFmtId="59" fontId="12" borderId="11" applyNumberFormat="1" applyFont="1" applyFill="0" applyBorder="1" applyAlignment="1" applyProtection="0">
      <alignment vertical="bottom"/>
    </xf>
    <xf numFmtId="59" fontId="12" fillId="4" borderId="11" applyNumberFormat="1" applyFont="1" applyFill="1" applyBorder="1" applyAlignment="1" applyProtection="0">
      <alignment vertical="bottom"/>
    </xf>
    <xf numFmtId="59" fontId="11" fillId="4" borderId="11" applyNumberFormat="1" applyFont="1" applyFill="1" applyBorder="1" applyAlignment="1" applyProtection="0">
      <alignment vertical="bottom"/>
    </xf>
    <xf numFmtId="49" fontId="12" fillId="4" borderId="11" applyNumberFormat="1" applyFont="1" applyFill="1" applyBorder="1" applyAlignment="1" applyProtection="0">
      <alignment vertical="bottom"/>
    </xf>
    <xf numFmtId="59" fontId="12" fillId="4" borderId="12" applyNumberFormat="1" applyFont="1" applyFill="1" applyBorder="1" applyAlignment="1" applyProtection="0">
      <alignment vertical="bottom"/>
    </xf>
    <xf numFmtId="0" fontId="12" borderId="11" applyNumberFormat="0" applyFont="1" applyFill="0" applyBorder="1" applyAlignment="1" applyProtection="0">
      <alignment vertical="bottom"/>
    </xf>
    <xf numFmtId="0" fontId="7"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11" borderId="10" applyNumberFormat="1" applyFont="1" applyFill="0" applyBorder="1" applyAlignment="1" applyProtection="0">
      <alignment horizontal="center" vertical="bottom"/>
    </xf>
    <xf numFmtId="59" fontId="9" borderId="11" applyNumberFormat="1" applyFont="1" applyFill="0" applyBorder="1" applyAlignment="1" applyProtection="0">
      <alignment vertical="bottom"/>
    </xf>
    <xf numFmtId="49" fontId="9" borderId="11" applyNumberFormat="1" applyFont="1" applyFill="0" applyBorder="1" applyAlignment="1" applyProtection="0">
      <alignment vertical="bottom"/>
    </xf>
    <xf numFmtId="59" fontId="1" borderId="11" applyNumberFormat="1" applyFont="1" applyFill="0" applyBorder="1" applyAlignment="1" applyProtection="0">
      <alignment vertical="bottom"/>
    </xf>
    <xf numFmtId="59" fontId="1" borderId="12" applyNumberFormat="1" applyFont="1" applyFill="0" applyBorder="1" applyAlignment="1" applyProtection="0">
      <alignment vertical="bottom"/>
    </xf>
    <xf numFmtId="59" fontId="12" borderId="12" applyNumberFormat="1" applyFont="1" applyFill="0" applyBorder="1" applyAlignment="1" applyProtection="0">
      <alignment vertical="bottom"/>
    </xf>
    <xf numFmtId="49" fontId="12" borderId="11" applyNumberFormat="1" applyFont="1" applyFill="0" applyBorder="1" applyAlignment="1" applyProtection="0">
      <alignment vertical="bottom"/>
    </xf>
    <xf numFmtId="59" fontId="7" borderId="11" applyNumberFormat="1" applyFont="1" applyFill="0" applyBorder="1" applyAlignment="1" applyProtection="0">
      <alignment vertical="bottom"/>
    </xf>
    <xf numFmtId="59" fontId="7" borderId="25" applyNumberFormat="1" applyFont="1" applyFill="0" applyBorder="1" applyAlignment="1" applyProtection="0">
      <alignment vertical="bottom"/>
    </xf>
    <xf numFmtId="0" fontId="7" fillId="4" borderId="11" applyNumberFormat="0" applyFont="1" applyFill="1" applyBorder="1" applyAlignment="1" applyProtection="0">
      <alignment vertical="bottom"/>
    </xf>
    <xf numFmtId="0" fontId="7" fillId="4" borderId="11" applyNumberFormat="0" applyFont="1" applyFill="1" applyBorder="1" applyAlignment="1" applyProtection="0">
      <alignment horizontal="center" vertical="bottom"/>
    </xf>
    <xf numFmtId="49" fontId="12" borderId="12" applyNumberFormat="1" applyFont="1" applyFill="0" applyBorder="1" applyAlignment="1" applyProtection="0">
      <alignment vertical="bottom"/>
    </xf>
    <xf numFmtId="49" fontId="7" borderId="26" applyNumberFormat="1" applyFont="1" applyFill="0" applyBorder="1" applyAlignment="1" applyProtection="0">
      <alignment vertical="bottom"/>
    </xf>
    <xf numFmtId="0" fontId="7" borderId="10" applyNumberFormat="0" applyFont="1" applyFill="0" applyBorder="1" applyAlignment="1" applyProtection="0">
      <alignment vertical="bottom"/>
    </xf>
    <xf numFmtId="0" fontId="0" borderId="27"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borderId="28" applyNumberFormat="0" applyFont="1" applyFill="0" applyBorder="1" applyAlignment="1" applyProtection="0">
      <alignment vertical="bottom"/>
    </xf>
    <xf numFmtId="0" fontId="0" borderId="29" applyNumberFormat="0" applyFont="1" applyFill="0" applyBorder="1" applyAlignment="1" applyProtection="0">
      <alignment vertical="bottom"/>
    </xf>
    <xf numFmtId="0" fontId="0" borderId="30" applyNumberFormat="0" applyFont="1" applyFill="0" applyBorder="1" applyAlignment="1" applyProtection="0">
      <alignment vertical="bottom"/>
    </xf>
    <xf numFmtId="49" fontId="0" borderId="11" applyNumberFormat="1" applyFont="1" applyFill="0" applyBorder="1" applyAlignment="1" applyProtection="0">
      <alignment vertical="bottom"/>
    </xf>
    <xf numFmtId="0" fontId="0" applyNumberFormat="1" applyFont="1" applyFill="0" applyBorder="0" applyAlignment="1" applyProtection="0">
      <alignment vertical="bottom"/>
    </xf>
    <xf numFmtId="49" fontId="13" borderId="5" applyNumberFormat="1" applyFont="1" applyFill="0" applyBorder="1" applyAlignment="1" applyProtection="0">
      <alignment horizontal="center" vertical="bottom"/>
    </xf>
    <xf numFmtId="49" fontId="14" borderId="5" applyNumberFormat="1" applyFont="1" applyFill="0" applyBorder="1" applyAlignment="1" applyProtection="0">
      <alignment vertical="bottom"/>
    </xf>
    <xf numFmtId="59" fontId="13" borderId="5" applyNumberFormat="1" applyFont="1" applyFill="0" applyBorder="1" applyAlignment="1" applyProtection="0">
      <alignment vertical="bottom"/>
    </xf>
    <xf numFmtId="0" fontId="13" borderId="5" applyNumberFormat="0" applyFont="1" applyFill="0" applyBorder="1" applyAlignment="1" applyProtection="0">
      <alignment vertical="bottom"/>
    </xf>
    <xf numFmtId="49" fontId="15" borderId="10" applyNumberFormat="1" applyFont="1" applyFill="0" applyBorder="1" applyAlignment="1" applyProtection="0">
      <alignment horizontal="left" vertical="bottom"/>
    </xf>
    <xf numFmtId="0" fontId="13" borderId="11" applyNumberFormat="0" applyFont="1" applyFill="0" applyBorder="1" applyAlignment="1" applyProtection="0">
      <alignment horizontal="center" vertical="bottom"/>
    </xf>
    <xf numFmtId="0" fontId="13" borderId="11" applyNumberFormat="0" applyFont="1" applyFill="0" applyBorder="1" applyAlignment="1" applyProtection="0">
      <alignment vertical="bottom"/>
    </xf>
    <xf numFmtId="0" fontId="16" fillId="5" borderId="11" applyNumberFormat="0" applyFont="1" applyFill="1" applyBorder="1" applyAlignment="1" applyProtection="0">
      <alignment horizontal="center" vertical="center" wrapText="1"/>
    </xf>
    <xf numFmtId="49" fontId="16" fillId="5" borderId="11" applyNumberFormat="1" applyFont="1" applyFill="1" applyBorder="1" applyAlignment="1" applyProtection="0">
      <alignment horizontal="center" vertical="center" wrapText="1"/>
    </xf>
    <xf numFmtId="49" fontId="7" borderId="11" applyNumberFormat="1" applyFont="1" applyFill="0" applyBorder="1" applyAlignment="1" applyProtection="0">
      <alignment horizontal="center" vertical="bottom"/>
    </xf>
    <xf numFmtId="49" fontId="8" borderId="11" applyNumberFormat="1" applyFont="1" applyFill="0" applyBorder="1" applyAlignment="1" applyProtection="0">
      <alignment horizontal="center" vertical="bottom"/>
    </xf>
    <xf numFmtId="0" fontId="7" borderId="11" applyNumberFormat="0" applyFont="1" applyFill="0" applyBorder="1" applyAlignment="1" applyProtection="0">
      <alignment horizontal="center" vertical="bottom"/>
    </xf>
    <xf numFmtId="49" fontId="17" fillId="5" borderId="11" applyNumberFormat="1" applyFont="1" applyFill="1" applyBorder="1" applyAlignment="1" applyProtection="0">
      <alignment horizontal="center" vertical="center" wrapText="1"/>
    </xf>
    <xf numFmtId="49" fontId="16" fillId="6" borderId="11" applyNumberFormat="1" applyFont="1" applyFill="1" applyBorder="1" applyAlignment="1" applyProtection="0">
      <alignment horizontal="center" vertical="center" wrapText="1"/>
    </xf>
    <xf numFmtId="49" fontId="18" fillId="5" borderId="11" applyNumberFormat="1" applyFont="1" applyFill="1" applyBorder="1" applyAlignment="1" applyProtection="0">
      <alignment horizontal="center" vertical="center" wrapText="1"/>
    </xf>
    <xf numFmtId="59" fontId="16" fillId="5" borderId="11" applyNumberFormat="1" applyFont="1" applyFill="1" applyBorder="1" applyAlignment="1" applyProtection="0">
      <alignment horizontal="center" vertical="center" wrapText="1"/>
    </xf>
    <xf numFmtId="1" fontId="0" borderId="11" applyNumberFormat="1" applyFont="1" applyFill="0" applyBorder="1" applyAlignment="1" applyProtection="0">
      <alignment horizontal="center" vertical="bottom"/>
    </xf>
    <xf numFmtId="59" fontId="0" fillId="4" borderId="11" applyNumberFormat="1" applyFont="1" applyFill="1" applyBorder="1" applyAlignment="1" applyProtection="0">
      <alignment vertical="bottom"/>
    </xf>
    <xf numFmtId="2" fontId="0" borderId="11" applyNumberFormat="1" applyFont="1" applyFill="0" applyBorder="1" applyAlignment="1" applyProtection="0">
      <alignment horizontal="center" vertical="bottom"/>
    </xf>
    <xf numFmtId="14" fontId="0" borderId="11" applyNumberFormat="1" applyFont="1" applyFill="0" applyBorder="1" applyAlignment="1" applyProtection="0">
      <alignment vertical="bottom"/>
    </xf>
    <xf numFmtId="0" fontId="0" borderId="31" applyNumberFormat="0" applyFont="1" applyFill="0" applyBorder="1" applyAlignment="1" applyProtection="0">
      <alignment vertical="bottom"/>
    </xf>
    <xf numFmtId="59" fontId="0" borderId="31" applyNumberFormat="1" applyFont="1" applyFill="0" applyBorder="1" applyAlignment="1" applyProtection="0">
      <alignment vertical="bottom"/>
    </xf>
    <xf numFmtId="59" fontId="0" borderId="32" applyNumberFormat="1" applyFont="1" applyFill="0" applyBorder="1" applyAlignment="1" applyProtection="0">
      <alignment vertical="bottom"/>
    </xf>
    <xf numFmtId="49" fontId="0" fillId="4" borderId="11"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49" fontId="15" borderId="4" applyNumberFormat="1" applyFont="1" applyFill="0" applyBorder="1" applyAlignment="1" applyProtection="0">
      <alignment horizontal="left" vertical="bottom"/>
    </xf>
    <xf numFmtId="0" fontId="13" borderId="5" applyNumberFormat="0" applyFont="1" applyFill="0" applyBorder="1" applyAlignment="1" applyProtection="0">
      <alignment horizontal="center" vertical="bottom"/>
    </xf>
    <xf numFmtId="49" fontId="13" borderId="11" applyNumberFormat="1" applyFont="1" applyFill="0" applyBorder="1" applyAlignment="1" applyProtection="0">
      <alignment horizontal="center" vertical="bottom"/>
    </xf>
    <xf numFmtId="14" fontId="16" fillId="5" borderId="10" applyNumberFormat="1" applyFont="1" applyFill="1" applyBorder="1" applyAlignment="1" applyProtection="0">
      <alignment horizontal="right" vertical="center" wrapText="1"/>
    </xf>
    <xf numFmtId="49" fontId="16" fillId="5" borderId="10" applyNumberFormat="1" applyFont="1" applyFill="1" applyBorder="1" applyAlignment="1" applyProtection="0">
      <alignment horizontal="right" vertical="center" wrapText="1"/>
    </xf>
    <xf numFmtId="14" fontId="0" borderId="10" applyNumberFormat="1" applyFont="1" applyFill="0" applyBorder="1" applyAlignment="1" applyProtection="0">
      <alignment vertical="bottom"/>
    </xf>
    <xf numFmtId="59" fontId="13" borderId="11" applyNumberFormat="1" applyFont="1" applyFill="0" applyBorder="1" applyAlignment="1" applyProtection="0">
      <alignment vertical="bottom"/>
    </xf>
    <xf numFmtId="0" fontId="16" fillId="5" borderId="11" applyNumberFormat="1" applyFont="1" applyFill="1" applyBorder="1" applyAlignment="1" applyProtection="0">
      <alignment horizontal="center" vertical="center" wrapText="1"/>
    </xf>
    <xf numFmtId="59" fontId="0" fillId="7" borderId="11" applyNumberFormat="1" applyFont="1" applyFill="1" applyBorder="1" applyAlignment="1" applyProtection="0">
      <alignment vertical="bottom"/>
    </xf>
    <xf numFmtId="0" fontId="0" borderId="32" applyNumberFormat="0" applyFont="1" applyFill="0" applyBorder="1" applyAlignment="1" applyProtection="0">
      <alignment vertical="bottom"/>
    </xf>
    <xf numFmtId="0" fontId="0" borderId="11" applyNumberFormat="1" applyFont="1" applyFill="0" applyBorder="1" applyAlignment="1" applyProtection="0">
      <alignment horizontal="center" vertical="bottom"/>
    </xf>
    <xf numFmtId="14" fontId="0" borderId="33" applyNumberFormat="1" applyFont="1" applyFill="0" applyBorder="1" applyAlignment="1" applyProtection="0">
      <alignment vertical="bottom"/>
    </xf>
    <xf numFmtId="14" fontId="0" borderId="34" applyNumberFormat="1" applyFont="1" applyFill="0" applyBorder="1" applyAlignment="1" applyProtection="0">
      <alignment vertical="bottom"/>
    </xf>
    <xf numFmtId="0" fontId="0" borderId="35" applyNumberFormat="0" applyFont="1" applyFill="0" applyBorder="1" applyAlignment="1" applyProtection="0">
      <alignment vertical="bottom"/>
    </xf>
    <xf numFmtId="49" fontId="0" borderId="30" applyNumberFormat="1" applyFont="1" applyFill="0" applyBorder="1" applyAlignment="1" applyProtection="0">
      <alignment vertical="bottom"/>
    </xf>
    <xf numFmtId="0" fontId="0" borderId="36" applyNumberFormat="0" applyFont="1" applyFill="0" applyBorder="1" applyAlignment="1" applyProtection="0">
      <alignment vertical="bottom"/>
    </xf>
    <xf numFmtId="1" fontId="0" fillId="4" borderId="11"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15" borderId="11" applyNumberFormat="1" applyFont="1" applyFill="0" applyBorder="1" applyAlignment="1" applyProtection="0">
      <alignment horizontal="left" vertical="bottom"/>
    </xf>
    <xf numFmtId="0" fontId="0" borderId="37" applyNumberFormat="0" applyFont="1" applyFill="0" applyBorder="1" applyAlignment="1" applyProtection="0">
      <alignment vertical="bottom"/>
    </xf>
    <xf numFmtId="0" fontId="0" fillId="6" borderId="38" applyNumberFormat="0" applyFont="1" applyFill="1" applyBorder="1" applyAlignment="1" applyProtection="0">
      <alignment vertical="bottom"/>
    </xf>
    <xf numFmtId="0" fontId="0" borderId="39" applyNumberFormat="0" applyFont="1" applyFill="0" applyBorder="1" applyAlignment="1" applyProtection="0">
      <alignment vertical="bottom"/>
    </xf>
    <xf numFmtId="49" fontId="7" borderId="11" applyNumberFormat="1" applyFont="1" applyFill="0" applyBorder="1" applyAlignment="1" applyProtection="0">
      <alignment vertical="bottom"/>
    </xf>
    <xf numFmtId="49" fontId="7" fillId="6" borderId="11" applyNumberFormat="1" applyFont="1" applyFill="1" applyBorder="1" applyAlignment="1" applyProtection="0">
      <alignment vertical="bottom"/>
    </xf>
    <xf numFmtId="14" fontId="16" fillId="5" borderId="11" applyNumberFormat="1" applyFont="1" applyFill="1" applyBorder="1" applyAlignment="1" applyProtection="0">
      <alignment horizontal="right" vertical="center" wrapText="1"/>
    </xf>
    <xf numFmtId="49" fontId="16" fillId="5" borderId="11" applyNumberFormat="1" applyFont="1" applyFill="1" applyBorder="1" applyAlignment="1" applyProtection="0">
      <alignment horizontal="right" vertical="center" wrapText="1"/>
    </xf>
    <xf numFmtId="59" fontId="0" fillId="4" borderId="37" applyNumberFormat="1" applyFont="1" applyFill="1" applyBorder="1" applyAlignment="1" applyProtection="0">
      <alignment vertical="bottom"/>
    </xf>
    <xf numFmtId="59" fontId="0" borderId="40" applyNumberFormat="1" applyFont="1" applyFill="0" applyBorder="1" applyAlignment="1" applyProtection="0">
      <alignment vertical="bottom"/>
    </xf>
    <xf numFmtId="59" fontId="0" borderId="39" applyNumberFormat="1" applyFont="1" applyFill="0" applyBorder="1" applyAlignment="1" applyProtection="0">
      <alignment vertical="bottom"/>
    </xf>
    <xf numFmtId="0" fontId="0" fillId="6" borderId="11" applyNumberFormat="0" applyFont="1" applyFill="1" applyBorder="1" applyAlignment="1" applyProtection="0">
      <alignment vertical="bottom"/>
    </xf>
    <xf numFmtId="49" fontId="0" fillId="6" borderId="11" applyNumberFormat="1" applyFont="1" applyFill="1" applyBorder="1" applyAlignment="1" applyProtection="0">
      <alignment vertical="bottom"/>
    </xf>
    <xf numFmtId="59" fontId="0" borderId="37" applyNumberFormat="1" applyFont="1" applyFill="0" applyBorder="1" applyAlignment="1" applyProtection="0">
      <alignment vertical="bottom"/>
    </xf>
    <xf numFmtId="49" fontId="0" borderId="37" applyNumberFormat="1" applyFont="1" applyFill="0" applyBorder="1" applyAlignment="1" applyProtection="0">
      <alignment vertical="bottom"/>
    </xf>
    <xf numFmtId="59" fontId="0" fillId="6" borderId="11" applyNumberFormat="1" applyFont="1" applyFill="1" applyBorder="1" applyAlignment="1" applyProtection="0">
      <alignment vertical="bottom"/>
    </xf>
    <xf numFmtId="14" fontId="16" fillId="6" borderId="11" applyNumberFormat="1" applyFont="1" applyFill="1" applyBorder="1" applyAlignment="1" applyProtection="0">
      <alignment horizontal="right" vertical="center" wrapText="1"/>
    </xf>
    <xf numFmtId="0" fontId="17" fillId="6" borderId="11" applyNumberFormat="0" applyFont="1" applyFill="1" applyBorder="1" applyAlignment="1" applyProtection="0">
      <alignment horizontal="center" vertical="center" wrapText="1"/>
    </xf>
    <xf numFmtId="0" fontId="16" fillId="6" borderId="11" applyNumberFormat="0" applyFont="1" applyFill="1" applyBorder="1" applyAlignment="1" applyProtection="0">
      <alignment horizontal="center" vertical="center" wrapText="1"/>
    </xf>
    <xf numFmtId="5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59" fontId="0" borderId="23" applyNumberFormat="1" applyFont="1" applyFill="0" applyBorder="1" applyAlignment="1" applyProtection="0">
      <alignment vertical="bottom"/>
    </xf>
    <xf numFmtId="59" fontId="0" borderId="12" applyNumberFormat="1" applyFont="1" applyFill="0" applyBorder="1" applyAlignment="1" applyProtection="0">
      <alignment vertical="bottom"/>
    </xf>
    <xf numFmtId="49" fontId="16" fillId="5" borderId="12" applyNumberFormat="1" applyFont="1" applyFill="1" applyBorder="1" applyAlignment="1" applyProtection="0">
      <alignment horizontal="center" vertical="center" wrapText="1"/>
    </xf>
    <xf numFmtId="0" fontId="17" fillId="5" borderId="11" applyNumberFormat="0" applyFont="1" applyFill="1" applyBorder="1" applyAlignment="1" applyProtection="0">
      <alignment horizontal="center" vertical="center" wrapText="1"/>
    </xf>
    <xf numFmtId="59" fontId="0" borderId="25" applyNumberFormat="1" applyFont="1" applyFill="0" applyBorder="1" applyAlignment="1" applyProtection="0">
      <alignment vertical="bottom"/>
    </xf>
    <xf numFmtId="59" fontId="0" borderId="28" applyNumberFormat="1" applyFont="1" applyFill="0" applyBorder="1" applyAlignment="1" applyProtection="0">
      <alignment vertical="bottom"/>
    </xf>
    <xf numFmtId="0" fontId="0" borderId="15" applyNumberFormat="0" applyFont="1" applyFill="0" applyBorder="1" applyAlignment="1" applyProtection="0">
      <alignment vertical="bottom"/>
    </xf>
    <xf numFmtId="49" fontId="0" borderId="41" applyNumberFormat="1" applyFont="1" applyFill="0" applyBorder="1" applyAlignment="1" applyProtection="0">
      <alignment horizontal="center" vertical="bottom"/>
    </xf>
    <xf numFmtId="49" fontId="0" borderId="29" applyNumberFormat="1" applyFont="1" applyFill="0" applyBorder="1" applyAlignment="1" applyProtection="0">
      <alignment horizontal="center" vertical="bottom"/>
    </xf>
    <xf numFmtId="49" fontId="0" borderId="42" applyNumberFormat="1" applyFont="1" applyFill="0" applyBorder="1" applyAlignment="1" applyProtection="0">
      <alignment horizontal="center" vertical="bottom"/>
    </xf>
    <xf numFmtId="49" fontId="0" borderId="3" applyNumberFormat="1" applyFont="1" applyFill="0" applyBorder="1" applyAlignment="1" applyProtection="0">
      <alignment vertical="bottom"/>
    </xf>
    <xf numFmtId="59" fontId="0" borderId="43" applyNumberFormat="1" applyFont="1" applyFill="0" applyBorder="1" applyAlignment="1" applyProtection="0">
      <alignment vertical="bottom"/>
    </xf>
    <xf numFmtId="59" fontId="0" borderId="44" applyNumberFormat="1" applyFont="1" applyFill="0" applyBorder="1" applyAlignment="1" applyProtection="0">
      <alignment vertical="bottom"/>
    </xf>
    <xf numFmtId="49" fontId="0" borderId="45" applyNumberFormat="1" applyFont="1" applyFill="0" applyBorder="1" applyAlignment="1" applyProtection="0">
      <alignment vertical="bottom"/>
    </xf>
    <xf numFmtId="59" fontId="0" fillId="7" borderId="46" applyNumberFormat="1" applyFont="1" applyFill="1" applyBorder="1" applyAlignment="1" applyProtection="0">
      <alignment vertical="bottom"/>
    </xf>
    <xf numFmtId="59" fontId="0" fillId="7" borderId="47" applyNumberFormat="1" applyFont="1" applyFill="1" applyBorder="1" applyAlignment="1" applyProtection="0">
      <alignment vertical="bottom"/>
    </xf>
    <xf numFmtId="49" fontId="0" borderId="48" applyNumberFormat="1" applyFont="1" applyFill="0" applyBorder="1" applyAlignment="1" applyProtection="0">
      <alignment vertical="bottom"/>
    </xf>
    <xf numFmtId="59" fontId="0" borderId="49" applyNumberFormat="1" applyFont="1" applyFill="0" applyBorder="1" applyAlignment="1" applyProtection="0">
      <alignment vertical="bottom"/>
    </xf>
    <xf numFmtId="0" fontId="0" borderId="50" applyNumberFormat="0" applyFont="1" applyFill="0" applyBorder="1" applyAlignment="1" applyProtection="0">
      <alignment vertical="bottom"/>
    </xf>
    <xf numFmtId="49" fontId="0" borderId="51" applyNumberFormat="1" applyFont="1" applyFill="0" applyBorder="1" applyAlignment="1" applyProtection="0">
      <alignment vertical="bottom"/>
    </xf>
    <xf numFmtId="59" fontId="0" fillId="8" borderId="52" applyNumberFormat="1" applyFont="1" applyFill="1" applyBorder="1" applyAlignment="1" applyProtection="0">
      <alignment vertical="bottom"/>
    </xf>
    <xf numFmtId="59" fontId="0" fillId="8" borderId="53" applyNumberFormat="1" applyFont="1" applyFill="1" applyBorder="1" applyAlignment="1" applyProtection="0">
      <alignment vertical="bottom"/>
    </xf>
    <xf numFmtId="49" fontId="0" borderId="29" applyNumberFormat="1" applyFont="1" applyFill="0" applyBorder="1" applyAlignment="1" applyProtection="0">
      <alignment vertical="bottom"/>
    </xf>
    <xf numFmtId="59" fontId="0" borderId="42" applyNumberFormat="1" applyFont="1" applyFill="0" applyBorder="1" applyAlignment="1" applyProtection="0">
      <alignment vertical="bottom"/>
    </xf>
    <xf numFmtId="59" fontId="0" borderId="2" applyNumberFormat="1" applyFont="1" applyFill="0" applyBorder="1" applyAlignment="1" applyProtection="0">
      <alignment vertical="bottom"/>
    </xf>
    <xf numFmtId="59" fontId="0" borderId="22" applyNumberFormat="1" applyFont="1" applyFill="0" applyBorder="1" applyAlignment="1" applyProtection="0">
      <alignment vertical="bottom"/>
    </xf>
    <xf numFmtId="0" fontId="0" applyNumberFormat="1" applyFont="1" applyFill="0" applyBorder="0" applyAlignment="1" applyProtection="0">
      <alignment vertical="bottom"/>
    </xf>
    <xf numFmtId="59" fontId="0" borderId="54" applyNumberFormat="1" applyFont="1" applyFill="0" applyBorder="1" applyAlignment="1" applyProtection="0">
      <alignment vertical="bottom"/>
    </xf>
    <xf numFmtId="59" fontId="0" borderId="55" applyNumberFormat="1" applyFont="1" applyFill="0" applyBorder="1" applyAlignment="1" applyProtection="0">
      <alignment vertical="bottom"/>
    </xf>
    <xf numFmtId="59" fontId="0" borderId="56" applyNumberFormat="1" applyFont="1" applyFill="0" applyBorder="1" applyAlignment="1" applyProtection="0">
      <alignment vertical="bottom"/>
    </xf>
    <xf numFmtId="49" fontId="0" borderId="12" applyNumberFormat="1" applyFont="1" applyFill="0" applyBorder="1" applyAlignment="1" applyProtection="0">
      <alignment vertical="bottom"/>
    </xf>
    <xf numFmtId="14" fontId="0" borderId="13" applyNumberFormat="1" applyFont="1" applyFill="0" applyBorder="1" applyAlignment="1" applyProtection="0">
      <alignment vertical="bottom"/>
    </xf>
    <xf numFmtId="14" fontId="0" borderId="9" applyNumberFormat="1" applyFont="1" applyFill="0" applyBorder="1" applyAlignment="1" applyProtection="0">
      <alignment vertical="bottom"/>
    </xf>
    <xf numFmtId="14" fontId="0" borderId="21" applyNumberFormat="1" applyFont="1" applyFill="0" applyBorder="1" applyAlignment="1" applyProtection="0">
      <alignment vertical="bottom"/>
    </xf>
    <xf numFmtId="0" fontId="0" applyNumberFormat="1" applyFont="1" applyFill="0" applyBorder="0" applyAlignment="1" applyProtection="0">
      <alignment vertical="bottom"/>
    </xf>
    <xf numFmtId="14" fontId="0" borderId="35" applyNumberFormat="1" applyFont="1" applyFill="0" applyBorder="1" applyAlignment="1" applyProtection="0">
      <alignment vertical="bottom"/>
    </xf>
    <xf numFmtId="14" fontId="0" borderId="30" applyNumberFormat="1" applyFont="1" applyFill="0" applyBorder="1" applyAlignment="1" applyProtection="0">
      <alignment vertical="bottom"/>
    </xf>
    <xf numFmtId="14" fontId="0" borderId="57" applyNumberFormat="1" applyFont="1" applyFill="0" applyBorder="1" applyAlignment="1" applyProtection="0">
      <alignment vertical="bottom"/>
    </xf>
    <xf numFmtId="0" fontId="0" borderId="58" applyNumberFormat="0" applyFont="1" applyFill="0" applyBorder="1" applyAlignment="1" applyProtection="0">
      <alignment vertical="bottom"/>
    </xf>
    <xf numFmtId="49" fontId="0" borderId="59" applyNumberFormat="1" applyFont="1" applyFill="0" applyBorder="1" applyAlignment="1" applyProtection="0">
      <alignment vertical="bottom"/>
    </xf>
    <xf numFmtId="59" fontId="0" fillId="9" borderId="46" applyNumberFormat="1" applyFont="1" applyFill="1" applyBorder="1" applyAlignment="1" applyProtection="0">
      <alignment vertical="bottom"/>
    </xf>
    <xf numFmtId="49" fontId="0" borderId="49" applyNumberFormat="1" applyFont="1" applyFill="0" applyBorder="1" applyAlignment="1" applyProtection="0">
      <alignment vertical="bottom"/>
    </xf>
    <xf numFmtId="59" fontId="0" borderId="60"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9" borderId="46" applyNumberFormat="1" applyFont="1" applyFill="1" applyBorder="1" applyAlignment="1" applyProtection="0">
      <alignment vertical="bottom"/>
    </xf>
    <xf numFmtId="49" fontId="0" borderId="2" applyNumberFormat="1" applyFont="1" applyFill="0" applyBorder="1" applyAlignment="1" applyProtection="0">
      <alignment vertical="bottom"/>
    </xf>
    <xf numFmtId="14" fontId="0" borderId="29" applyNumberFormat="1" applyFont="1" applyFill="0" applyBorder="1" applyAlignment="1" applyProtection="0">
      <alignment vertical="bottom"/>
    </xf>
    <xf numFmtId="59" fontId="0" borderId="29" applyNumberFormat="1" applyFont="1" applyFill="0" applyBorder="1" applyAlignment="1" applyProtection="0">
      <alignment vertical="bottom"/>
    </xf>
    <xf numFmtId="14" fontId="0" borderId="2" applyNumberFormat="1" applyFont="1" applyFill="0" applyBorder="1" applyAlignment="1" applyProtection="0">
      <alignment vertical="bottom"/>
    </xf>
    <xf numFmtId="59" fontId="0" borderId="58"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59"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59" fontId="0" borderId="48" applyNumberFormat="1" applyFont="1" applyFill="0" applyBorder="1" applyAlignment="1" applyProtection="0">
      <alignment vertical="bottom"/>
    </xf>
    <xf numFmtId="49" fontId="0" borderId="6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00"/>
      <rgbColor rgb="ffccffff"/>
      <rgbColor rgb="ffffffff"/>
      <rgbColor rgb="ff92d050"/>
      <rgbColor rgb="ffe2eeda"/>
      <rgbColor rgb="ffffcc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s>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37</v>
      </c>
      <c r="C11" s="3"/>
      <c r="D11" s="3"/>
    </row>
    <row r="12">
      <c r="B12" s="4"/>
      <c r="C12" t="s" s="4">
        <v>5</v>
      </c>
      <c r="D12" t="s" s="5">
        <v>37</v>
      </c>
    </row>
    <row r="13">
      <c r="B13" t="s" s="3">
        <v>48</v>
      </c>
      <c r="C13" s="3"/>
      <c r="D13" s="3"/>
    </row>
    <row r="14">
      <c r="B14" s="4"/>
      <c r="C14" t="s" s="4">
        <v>5</v>
      </c>
      <c r="D14" t="s" s="5">
        <v>48</v>
      </c>
    </row>
    <row r="15">
      <c r="B15" t="s" s="3">
        <v>189</v>
      </c>
      <c r="C15" s="3"/>
      <c r="D15" s="3"/>
    </row>
    <row r="16">
      <c r="B16" s="4"/>
      <c r="C16" t="s" s="4">
        <v>5</v>
      </c>
      <c r="D16" t="s" s="5">
        <v>189</v>
      </c>
    </row>
    <row r="17">
      <c r="B17" t="s" s="3">
        <v>9</v>
      </c>
      <c r="C17" s="3"/>
      <c r="D17" s="3"/>
    </row>
    <row r="18">
      <c r="B18" s="4"/>
      <c r="C18" t="s" s="4">
        <v>5</v>
      </c>
      <c r="D18" t="s" s="5">
        <v>9</v>
      </c>
    </row>
    <row r="19">
      <c r="B19" t="s" s="3">
        <v>10</v>
      </c>
      <c r="C19" s="3"/>
      <c r="D19" s="3"/>
    </row>
    <row r="20">
      <c r="B20" s="4"/>
      <c r="C20" t="s" s="4">
        <v>5</v>
      </c>
      <c r="D20" t="s" s="5">
        <v>10</v>
      </c>
    </row>
    <row r="21">
      <c r="B21" t="s" s="3">
        <v>11</v>
      </c>
      <c r="C21" s="3"/>
      <c r="D21" s="3"/>
    </row>
    <row r="22">
      <c r="B22" s="4"/>
      <c r="C22" t="s" s="4">
        <v>5</v>
      </c>
      <c r="D22" t="s" s="5">
        <v>11</v>
      </c>
    </row>
    <row r="23">
      <c r="B23" t="s" s="3">
        <v>385</v>
      </c>
      <c r="C23" s="3"/>
      <c r="D23" s="3"/>
    </row>
    <row r="24">
      <c r="B24" s="4"/>
      <c r="C24" t="s" s="4">
        <v>5</v>
      </c>
      <c r="D24" t="s" s="5">
        <v>385</v>
      </c>
    </row>
    <row r="25">
      <c r="B25" t="s" s="3">
        <v>13</v>
      </c>
      <c r="C25" s="3"/>
      <c r="D25" s="3"/>
    </row>
    <row r="26">
      <c r="B26" s="4"/>
      <c r="C26" t="s" s="4">
        <v>5</v>
      </c>
      <c r="D26" t="s" s="5">
        <v>13</v>
      </c>
    </row>
    <row r="27">
      <c r="B27" t="s" s="3">
        <v>14</v>
      </c>
      <c r="C27" s="3"/>
      <c r="D27" s="3"/>
    </row>
    <row r="28">
      <c r="B28" s="4"/>
      <c r="C28" t="s" s="4">
        <v>5</v>
      </c>
      <c r="D28" t="s" s="5">
        <v>14</v>
      </c>
    </row>
    <row r="29">
      <c r="B29" t="s" s="3">
        <v>15</v>
      </c>
      <c r="C29" s="3"/>
      <c r="D29" s="3"/>
    </row>
    <row r="30">
      <c r="B30" s="4"/>
      <c r="C30" t="s" s="4">
        <v>5</v>
      </c>
      <c r="D30" t="s" s="5">
        <v>15</v>
      </c>
    </row>
    <row r="31">
      <c r="B31" t="s" s="3">
        <v>16</v>
      </c>
      <c r="C31" s="3"/>
      <c r="D31" s="3"/>
    </row>
    <row r="32">
      <c r="B32" s="4"/>
      <c r="C32" t="s" s="4">
        <v>5</v>
      </c>
      <c r="D32" t="s" s="5">
        <v>16</v>
      </c>
    </row>
    <row r="33">
      <c r="B33" t="s" s="3">
        <v>17</v>
      </c>
      <c r="C33" s="3"/>
      <c r="D33" s="3"/>
    </row>
    <row r="34">
      <c r="B34" s="4"/>
      <c r="C34" t="s" s="4">
        <v>5</v>
      </c>
      <c r="D34" t="s" s="5">
        <v>17</v>
      </c>
    </row>
    <row r="35">
      <c r="B35" t="s" s="3">
        <v>18</v>
      </c>
      <c r="C35" s="3"/>
      <c r="D35" s="3"/>
    </row>
    <row r="36">
      <c r="B36" s="4"/>
      <c r="C36" t="s" s="4">
        <v>5</v>
      </c>
      <c r="D36" t="s" s="5">
        <v>18</v>
      </c>
    </row>
    <row r="37">
      <c r="B37" t="s" s="3">
        <v>400</v>
      </c>
      <c r="C37" s="3"/>
      <c r="D37" s="3"/>
    </row>
    <row r="38">
      <c r="B38" s="4"/>
      <c r="C38" t="s" s="4">
        <v>5</v>
      </c>
      <c r="D38" t="s" s="5">
        <v>400</v>
      </c>
    </row>
    <row r="39">
      <c r="B39" t="s" s="3">
        <v>20</v>
      </c>
      <c r="C39" s="3"/>
      <c r="D39" s="3"/>
    </row>
    <row r="40">
      <c r="B40" s="4"/>
      <c r="C40" t="s" s="4">
        <v>5</v>
      </c>
      <c r="D40" t="s" s="5">
        <v>20</v>
      </c>
    </row>
  </sheetData>
  <mergeCells count="1">
    <mergeCell ref="B3:D3"/>
  </mergeCells>
  <hyperlinks>
    <hyperlink ref="D10" location="'C EGRESOS'!R1C1" tooltip="" display="C EGRESOS"/>
    <hyperlink ref="D12" location="'EDO R'!R1C1" tooltip="" display="EDO R"/>
    <hyperlink ref="D14" location="'INGRESOS'!R1C1" tooltip="" display="INGRESOS"/>
    <hyperlink ref="D16" location="'EGRESOS'!R1C1" tooltip="" display="EGRESOS"/>
    <hyperlink ref="D18" location="'ENERO'!R1C1" tooltip="" display="ENERO"/>
    <hyperlink ref="D20" location="'FEBRERO'!R1C1" tooltip="" display="FEBRERO"/>
    <hyperlink ref="D22" location="'MARZO'!R1C1" tooltip="" display="MARZO"/>
    <hyperlink ref="D24" location="'ABRIL'!R1C1" tooltip="" display="ABRIL"/>
    <hyperlink ref="D26" location="'MAYO'!R1C1" tooltip="" display="MAYO"/>
    <hyperlink ref="D28" location="'JUNIO'!R1C1" tooltip="" display="JUNIO"/>
    <hyperlink ref="D30" location="'JULIO'!R1C1" tooltip="" display="JULIO"/>
    <hyperlink ref="D32" location="'AGOSTO'!R1C1" tooltip="" display="AGOSTO"/>
    <hyperlink ref="D34" location="'SEPTIEMBRE'!R1C1" tooltip="" display="SEPTIEMBRE"/>
    <hyperlink ref="D36" location="'OCTUBRE'!R1C1" tooltip="" display="OCTUBRE"/>
    <hyperlink ref="D38" location="'NOVIEMBRE'!R1C1" tooltip="" display="NOVIEMBRE"/>
    <hyperlink ref="D40" location="'DICIEMBRE'!R1C1" tooltip="" display="DICIEMBRE"/>
  </hyperlinks>
</worksheet>
</file>

<file path=xl/worksheets/sheet2.xml><?xml version="1.0" encoding="utf-8"?>
<worksheet xmlns:r="http://schemas.openxmlformats.org/officeDocument/2006/relationships" xmlns="http://schemas.openxmlformats.org/spreadsheetml/2006/main">
  <dimension ref="A1:S26"/>
  <sheetViews>
    <sheetView workbookViewId="0" showGridLines="0" defaultGridColor="1"/>
  </sheetViews>
  <sheetFormatPr defaultColWidth="10.8333" defaultRowHeight="15" customHeight="1" outlineLevelRow="0" outlineLevelCol="0"/>
  <cols>
    <col min="1" max="1" width="10.8516" style="6" customWidth="1"/>
    <col min="2" max="3" width="19.5" style="6" customWidth="1"/>
    <col min="4" max="4" width="14.1719" style="6" customWidth="1"/>
    <col min="5" max="5" width="15.5" style="6" customWidth="1"/>
    <col min="6" max="6" width="13" style="6" customWidth="1"/>
    <col min="7" max="7" width="12.3516" style="6" customWidth="1"/>
    <col min="8" max="8" width="12.6719" style="6" customWidth="1"/>
    <col min="9" max="9" width="14.3516" style="6" customWidth="1"/>
    <col min="10" max="10" width="12.5" style="6" customWidth="1"/>
    <col min="11" max="11" width="10.8516" style="6" customWidth="1"/>
    <col min="12" max="12" width="14.3516" style="6" customWidth="1"/>
    <col min="13" max="13" width="14.5" style="6" customWidth="1"/>
    <col min="14" max="14" width="12.8516" style="6" customWidth="1"/>
    <col min="15" max="15" width="15.3516" style="6" customWidth="1"/>
    <col min="16" max="16" width="13.3516" style="6" customWidth="1"/>
    <col min="17" max="17" width="13.6719" style="6" customWidth="1"/>
    <col min="18" max="18" width="13" style="6" customWidth="1"/>
    <col min="19" max="19" width="10.8516" style="6" customWidth="1"/>
    <col min="20" max="16384" width="10.8516" style="6" customWidth="1"/>
  </cols>
  <sheetData>
    <row r="1" ht="15.75" customHeight="1">
      <c r="A1" s="7"/>
      <c r="B1" s="8"/>
      <c r="C1" s="8"/>
      <c r="D1" s="8"/>
      <c r="E1" s="8"/>
      <c r="F1" s="8"/>
      <c r="G1" s="8"/>
      <c r="H1" s="8"/>
      <c r="I1" s="8"/>
      <c r="J1" s="8"/>
      <c r="K1" s="8"/>
      <c r="L1" s="8"/>
      <c r="M1" s="8"/>
      <c r="N1" s="8"/>
      <c r="O1" s="8"/>
      <c r="P1" s="8"/>
      <c r="Q1" s="7"/>
      <c r="R1" s="7"/>
      <c r="S1" s="7"/>
    </row>
    <row r="2" ht="33.75" customHeight="1">
      <c r="A2" s="9"/>
      <c r="B2" t="s" s="10">
        <v>6</v>
      </c>
      <c r="C2" s="11"/>
      <c r="D2" s="12"/>
      <c r="E2" s="12"/>
      <c r="F2" s="12"/>
      <c r="G2" s="12"/>
      <c r="H2" s="12"/>
      <c r="I2" s="12"/>
      <c r="J2" s="12"/>
      <c r="K2" s="12"/>
      <c r="L2" s="13"/>
      <c r="M2" s="14"/>
      <c r="N2" s="14"/>
      <c r="O2" s="14"/>
      <c r="P2" s="15"/>
      <c r="Q2" s="16"/>
      <c r="R2" s="7"/>
      <c r="S2" s="7"/>
    </row>
    <row r="3" ht="13.55" customHeight="1">
      <c r="A3" s="9"/>
      <c r="B3" t="s" s="17">
        <v>7</v>
      </c>
      <c r="C3" s="18"/>
      <c r="D3" t="s" s="19">
        <v>8</v>
      </c>
      <c r="E3" t="s" s="19">
        <v>8</v>
      </c>
      <c r="F3" t="s" s="19">
        <v>8</v>
      </c>
      <c r="G3" t="s" s="19">
        <v>8</v>
      </c>
      <c r="H3" t="s" s="19">
        <v>8</v>
      </c>
      <c r="I3" t="s" s="19">
        <v>8</v>
      </c>
      <c r="J3" t="s" s="19">
        <v>8</v>
      </c>
      <c r="K3" t="s" s="19">
        <v>8</v>
      </c>
      <c r="L3" t="s" s="19">
        <v>8</v>
      </c>
      <c r="M3" t="s" s="19">
        <v>8</v>
      </c>
      <c r="N3" t="s" s="19">
        <v>8</v>
      </c>
      <c r="O3" t="s" s="19">
        <v>8</v>
      </c>
      <c r="P3" t="s" s="20">
        <v>8</v>
      </c>
      <c r="Q3" s="16"/>
      <c r="R3" s="7"/>
      <c r="S3" s="7"/>
    </row>
    <row r="4" ht="13.55" customHeight="1">
      <c r="A4" s="9"/>
      <c r="B4" s="21"/>
      <c r="C4" s="22"/>
      <c r="D4" s="22"/>
      <c r="E4" s="22"/>
      <c r="F4" s="22"/>
      <c r="G4" s="22"/>
      <c r="H4" s="22"/>
      <c r="I4" t="s" s="23">
        <v>8</v>
      </c>
      <c r="J4" t="s" s="23">
        <v>8</v>
      </c>
      <c r="K4" t="s" s="23">
        <v>8</v>
      </c>
      <c r="L4" t="s" s="23">
        <v>8</v>
      </c>
      <c r="M4" t="s" s="23">
        <v>8</v>
      </c>
      <c r="N4" t="s" s="23">
        <v>8</v>
      </c>
      <c r="O4" t="s" s="23">
        <v>8</v>
      </c>
      <c r="P4" t="s" s="24">
        <v>8</v>
      </c>
      <c r="Q4" t="s" s="25">
        <v>8</v>
      </c>
      <c r="R4" t="s" s="26">
        <v>8</v>
      </c>
      <c r="S4" t="s" s="26">
        <v>8</v>
      </c>
    </row>
    <row r="5" ht="13.75" customHeight="1">
      <c r="A5" s="9"/>
      <c r="B5" s="16"/>
      <c r="C5" s="7"/>
      <c r="D5" s="27"/>
      <c r="E5" s="28"/>
      <c r="F5" s="27"/>
      <c r="G5" s="27"/>
      <c r="H5" s="27"/>
      <c r="I5" s="27"/>
      <c r="J5" s="7"/>
      <c r="K5" s="7"/>
      <c r="L5" s="7"/>
      <c r="M5" s="7"/>
      <c r="N5" s="7"/>
      <c r="O5" s="7"/>
      <c r="P5" s="9"/>
      <c r="Q5" s="16"/>
      <c r="R5" s="7"/>
      <c r="S5" s="7"/>
    </row>
    <row r="6" ht="13.55" customHeight="1">
      <c r="A6" s="9"/>
      <c r="B6" s="29"/>
      <c r="C6" s="30"/>
      <c r="D6" t="s" s="31">
        <v>9</v>
      </c>
      <c r="E6" t="s" s="31">
        <v>10</v>
      </c>
      <c r="F6" t="s" s="31">
        <v>11</v>
      </c>
      <c r="G6" t="s" s="31">
        <v>12</v>
      </c>
      <c r="H6" t="s" s="31">
        <v>13</v>
      </c>
      <c r="I6" t="s" s="31">
        <v>14</v>
      </c>
      <c r="J6" t="s" s="31">
        <v>15</v>
      </c>
      <c r="K6" t="s" s="31">
        <v>16</v>
      </c>
      <c r="L6" t="s" s="31">
        <v>17</v>
      </c>
      <c r="M6" t="s" s="31">
        <v>18</v>
      </c>
      <c r="N6" t="s" s="31">
        <v>19</v>
      </c>
      <c r="O6" t="s" s="31">
        <v>20</v>
      </c>
      <c r="P6" s="9"/>
      <c r="Q6" s="16"/>
      <c r="R6" s="7"/>
      <c r="S6" s="7"/>
    </row>
    <row r="7" ht="13.55" customHeight="1">
      <c r="A7" s="9"/>
      <c r="B7" t="s" s="32">
        <v>21</v>
      </c>
      <c r="C7" s="33">
        <v>1400</v>
      </c>
      <c r="D7" s="34" cm="1">
        <f t="array" ref="D7">'EGRESOS'!H25</f>
        <v>1400</v>
      </c>
      <c r="E7" s="34" cm="1">
        <f t="array" ref="E7">'EGRESOS'!H56</f>
        <v>0</v>
      </c>
      <c r="F7" s="34" cm="1">
        <f t="array" ref="F7">'EGRESOS'!H98</f>
        <v>0</v>
      </c>
      <c r="G7" s="34" cm="1">
        <f t="array" ref="G7">'EGRESOS'!H130</f>
        <v>0</v>
      </c>
      <c r="H7" s="34" cm="1">
        <f t="array" ref="H7">'EGRESOS'!H155</f>
        <v>0</v>
      </c>
      <c r="I7" s="34" cm="1">
        <f t="array" ref="I7">'EGRESOS'!H191</f>
        <v>0</v>
      </c>
      <c r="J7" s="34" cm="1">
        <f t="array" ref="J7">'EGRESOS'!H218</f>
        <v>0</v>
      </c>
      <c r="K7" s="34" cm="1">
        <f t="array" ref="K7">'EGRESOS'!H242</f>
        <v>0</v>
      </c>
      <c r="L7" s="34" cm="1">
        <f t="array" ref="L7">'EGRESOS'!H275</f>
        <v>0</v>
      </c>
      <c r="M7" s="34" cm="1">
        <f t="array" ref="M7">'EGRESOS'!H300</f>
        <v>0</v>
      </c>
      <c r="N7" s="35"/>
      <c r="O7" s="35"/>
      <c r="P7" s="36"/>
      <c r="Q7" s="16"/>
      <c r="R7" s="7"/>
      <c r="S7" s="7"/>
    </row>
    <row r="8" ht="13.55" customHeight="1">
      <c r="A8" s="9"/>
      <c r="B8" t="s" s="32">
        <v>22</v>
      </c>
      <c r="C8" s="34">
        <v>4640</v>
      </c>
      <c r="D8" s="34" cm="1">
        <f t="array" ref="D8">'EGRESOS'!I25</f>
        <v>0</v>
      </c>
      <c r="E8" s="34" cm="1">
        <f t="array" ref="E8">'EGRESOS'!I56</f>
        <v>0</v>
      </c>
      <c r="F8" s="34" cm="1">
        <f t="array" ref="F8">'EGRESOS'!I98</f>
        <v>4640</v>
      </c>
      <c r="G8" s="34" cm="1">
        <f t="array" ref="G8">'EGRESOS'!I130</f>
        <v>0</v>
      </c>
      <c r="H8" s="34" cm="1">
        <f t="array" ref="H8">'EGRESOS'!I155</f>
        <v>0</v>
      </c>
      <c r="I8" s="34" cm="1">
        <f t="array" ref="I8">'EGRESOS'!I191</f>
        <v>0</v>
      </c>
      <c r="J8" s="34" cm="1">
        <f t="array" ref="J8">'EGRESOS'!I218</f>
        <v>0</v>
      </c>
      <c r="K8" s="34" cm="1">
        <f t="array" ref="K8">'EGRESOS'!I242</f>
        <v>0</v>
      </c>
      <c r="L8" s="34" cm="1">
        <f t="array" ref="L8">'EGRESOS'!I275</f>
        <v>0</v>
      </c>
      <c r="M8" s="34" cm="1">
        <f t="array" ref="M8">'EGRESOS'!I300</f>
        <v>0</v>
      </c>
      <c r="N8" s="35"/>
      <c r="O8" s="35"/>
      <c r="P8" s="36"/>
      <c r="Q8" s="16"/>
      <c r="R8" s="7"/>
      <c r="S8" s="7"/>
    </row>
    <row r="9" ht="13.55" customHeight="1">
      <c r="A9" s="9"/>
      <c r="B9" t="s" s="32">
        <v>23</v>
      </c>
      <c r="C9" s="33">
        <v>6032</v>
      </c>
      <c r="D9" s="34" cm="1">
        <f t="array" ref="D9">'EGRESOS'!J25</f>
        <v>6032</v>
      </c>
      <c r="E9" s="34" cm="1">
        <f t="array" ref="E9">'EGRESOS'!J56</f>
        <v>0</v>
      </c>
      <c r="F9" s="34" cm="1">
        <f t="array" ref="F9">'EGRESOS'!J98</f>
        <v>0</v>
      </c>
      <c r="G9" s="34" cm="1">
        <f t="array" ref="G9">'EGRESOS'!J130</f>
        <v>0</v>
      </c>
      <c r="H9" s="34" cm="1">
        <f t="array" ref="H9">'EGRESOS'!J155</f>
        <v>0</v>
      </c>
      <c r="I9" s="34" cm="1">
        <f t="array" ref="I9">'EGRESOS'!J191</f>
        <v>0</v>
      </c>
      <c r="J9" s="34" cm="1">
        <f t="array" ref="J9">'EGRESOS'!J218</f>
        <v>0</v>
      </c>
      <c r="K9" s="34" cm="1">
        <f t="array" ref="K9">'EGRESOS'!J242</f>
        <v>0</v>
      </c>
      <c r="L9" s="34" cm="1">
        <f t="array" ref="L9">'EGRESOS'!J275</f>
        <v>0</v>
      </c>
      <c r="M9" s="34" cm="1">
        <f t="array" ref="M9">'EGRESOS'!J300</f>
        <v>0</v>
      </c>
      <c r="N9" s="35"/>
      <c r="O9" s="35"/>
      <c r="P9" s="36"/>
      <c r="Q9" s="16"/>
      <c r="R9" s="7"/>
      <c r="S9" s="7"/>
    </row>
    <row r="10" ht="13.55" customHeight="1">
      <c r="A10" s="9"/>
      <c r="B10" t="s" s="32">
        <v>24</v>
      </c>
      <c r="C10" s="33">
        <v>13272.32</v>
      </c>
      <c r="D10" s="34" cm="1">
        <f t="array" ref="D10">'EGRESOS'!K25</f>
        <v>0</v>
      </c>
      <c r="E10" s="34" cm="1">
        <f t="array" ref="E10">'EGRESOS'!K56</f>
        <v>0</v>
      </c>
      <c r="F10" s="34" cm="1">
        <f t="array" ref="F10">'EGRESOS'!K98</f>
        <v>13272.32</v>
      </c>
      <c r="G10" s="34" cm="1">
        <f t="array" ref="G10">'EGRESOS'!K130</f>
        <v>0</v>
      </c>
      <c r="H10" s="34" cm="1">
        <f t="array" ref="H10">'EGRESOS'!K155</f>
        <v>0</v>
      </c>
      <c r="I10" s="34" cm="1">
        <f t="array" ref="I10">'EGRESOS'!K191</f>
        <v>0</v>
      </c>
      <c r="J10" s="34" cm="1">
        <f t="array" ref="J10">'EGRESOS'!K218</f>
        <v>0</v>
      </c>
      <c r="K10" s="34" cm="1">
        <f t="array" ref="K10">'EGRESOS'!K242</f>
        <v>0</v>
      </c>
      <c r="L10" s="34" cm="1">
        <f t="array" ref="L10">'EGRESOS'!K275</f>
        <v>0</v>
      </c>
      <c r="M10" s="34" cm="1">
        <f t="array" ref="M10">'EGRESOS'!K300</f>
        <v>0</v>
      </c>
      <c r="N10" s="35"/>
      <c r="O10" s="35"/>
      <c r="P10" s="36"/>
      <c r="Q10" s="16"/>
      <c r="R10" s="7"/>
      <c r="S10" s="7"/>
    </row>
    <row r="11" ht="13.55" customHeight="1">
      <c r="A11" s="9"/>
      <c r="B11" t="s" s="32">
        <v>25</v>
      </c>
      <c r="C11" s="33">
        <v>9340</v>
      </c>
      <c r="D11" s="34" cm="1">
        <f t="array" ref="D11">'EGRESOS'!L25</f>
        <v>4570</v>
      </c>
      <c r="E11" s="34" cm="1">
        <f t="array" ref="E11">'EGRESOS'!L56</f>
        <v>0</v>
      </c>
      <c r="F11" s="34" cm="1">
        <f t="array" ref="F11">'EGRESOS'!L98</f>
        <v>4770</v>
      </c>
      <c r="G11" s="34" cm="1">
        <f t="array" ref="G11">'EGRESOS'!L130</f>
        <v>0</v>
      </c>
      <c r="H11" s="34" cm="1">
        <f t="array" ref="H11">'EGRESOS'!L155</f>
        <v>0</v>
      </c>
      <c r="I11" s="34" cm="1">
        <f t="array" ref="I11">'EGRESOS'!L191</f>
        <v>0</v>
      </c>
      <c r="J11" s="34" cm="1">
        <f t="array" ref="J11">'EGRESOS'!L218</f>
        <v>0</v>
      </c>
      <c r="K11" s="34" cm="1">
        <f t="array" ref="K11">'EGRESOS'!L242</f>
        <v>0</v>
      </c>
      <c r="L11" s="34" cm="1">
        <f t="array" ref="L11">'EGRESOS'!L275</f>
        <v>0</v>
      </c>
      <c r="M11" s="34" cm="1">
        <f t="array" ref="M11">'EGRESOS'!L300</f>
        <v>0</v>
      </c>
      <c r="N11" s="35"/>
      <c r="O11" s="35"/>
      <c r="P11" s="36"/>
      <c r="Q11" s="16"/>
      <c r="R11" s="7"/>
      <c r="S11" s="7"/>
    </row>
    <row r="12" ht="13.55" customHeight="1">
      <c r="A12" s="9"/>
      <c r="B12" t="s" s="32">
        <v>26</v>
      </c>
      <c r="C12" s="33">
        <v>266130.7</v>
      </c>
      <c r="D12" s="34" cm="1">
        <f t="array" ref="D12">'EGRESOS'!M25</f>
        <v>14000.42</v>
      </c>
      <c r="E12" s="34" cm="1">
        <f t="array" ref="E12">'EGRESOS'!M56</f>
        <v>28062.04</v>
      </c>
      <c r="F12" s="34" cm="1">
        <f t="array" ref="F12">'EGRESOS'!M98</f>
        <v>27975.21</v>
      </c>
      <c r="G12" s="34" cm="1">
        <f t="array" ref="G12">'EGRESOS'!M130</f>
        <v>28004.16</v>
      </c>
      <c r="H12" s="34" cm="1">
        <f t="array" ref="H12">'EGRESOS'!M155</f>
        <v>31677.31</v>
      </c>
      <c r="I12" s="34" cm="1">
        <f t="array" ref="I12">'EGRESOS'!M191</f>
        <v>28415.15</v>
      </c>
      <c r="J12" s="34" cm="1">
        <f t="array" ref="J12">'EGRESOS'!M218</f>
        <v>26541.83</v>
      </c>
      <c r="K12" s="34" cm="1">
        <f t="array" ref="K12">'EGRESOS'!M242</f>
        <v>26975.21</v>
      </c>
      <c r="L12" s="34" cm="1">
        <f t="array" ref="L12">'EGRESOS'!M275</f>
        <v>27004.16</v>
      </c>
      <c r="M12" s="34" cm="1">
        <f t="array" ref="M12">'EGRESOS'!M300</f>
        <v>27475.21</v>
      </c>
      <c r="N12" s="35"/>
      <c r="O12" s="35"/>
      <c r="P12" s="36"/>
      <c r="Q12" s="16"/>
      <c r="R12" s="7"/>
      <c r="S12" s="7"/>
    </row>
    <row r="13" ht="13.55" customHeight="1">
      <c r="A13" s="9"/>
      <c r="B13" t="s" s="32">
        <v>27</v>
      </c>
      <c r="C13" s="33">
        <v>461850</v>
      </c>
      <c r="D13" s="34" cm="1">
        <f t="array" ref="D13">'EGRESOS'!N25</f>
        <v>75000</v>
      </c>
      <c r="E13" s="34" cm="1">
        <f t="array" ref="E13">'EGRESOS'!N56</f>
        <v>20000</v>
      </c>
      <c r="F13" s="34" cm="1">
        <f t="array" ref="F13">'EGRESOS'!M98</f>
        <v>27975.21</v>
      </c>
      <c r="G13" s="34" cm="1">
        <f t="array" ref="G13">'EGRESOS'!N130</f>
        <v>147850</v>
      </c>
      <c r="H13" s="34" cm="1">
        <f t="array" ref="H13">'EGRESOS'!N155</f>
        <v>10000</v>
      </c>
      <c r="I13" s="34" cm="1">
        <f t="array" ref="I13">'EGRESOS'!N191</f>
        <v>0</v>
      </c>
      <c r="J13" s="34" cm="1">
        <f t="array" ref="J13">'EGRESOS'!N218</f>
        <v>100000</v>
      </c>
      <c r="K13" s="34" cm="1">
        <f t="array" ref="K13">'EGRESOS'!N242</f>
        <v>0</v>
      </c>
      <c r="L13" s="34" cm="1">
        <f t="array" ref="L13">'EGRESOS'!N275</f>
        <v>0</v>
      </c>
      <c r="M13" s="34" cm="1">
        <f t="array" ref="M13">'EGRESOS'!N300</f>
        <v>15000</v>
      </c>
      <c r="N13" s="35"/>
      <c r="O13" s="35"/>
      <c r="P13" s="36"/>
      <c r="Q13" s="16"/>
      <c r="R13" s="7"/>
      <c r="S13" s="7"/>
    </row>
    <row r="14" ht="13.55" customHeight="1">
      <c r="A14" s="9"/>
      <c r="B14" t="s" s="32">
        <v>28</v>
      </c>
      <c r="C14" s="33">
        <v>42409.98</v>
      </c>
      <c r="D14" s="34" cm="1">
        <f t="array" ref="D14">'EGRESOS'!O25</f>
        <v>3596.68</v>
      </c>
      <c r="E14" s="34" cm="1">
        <f t="array" ref="E14">'EGRESOS'!O56</f>
        <v>4034.73</v>
      </c>
      <c r="F14" s="34" cm="1">
        <f t="array" ref="F14">'EGRESOS'!N98</f>
        <v>94000</v>
      </c>
      <c r="G14" s="34" cm="1">
        <f t="array" ref="G14">'EGRESOS'!O130</f>
        <v>2490.67</v>
      </c>
      <c r="H14" s="34" cm="1">
        <f t="array" ref="H14">'EGRESOS'!O155</f>
        <v>2109.18</v>
      </c>
      <c r="I14" s="34" cm="1">
        <f t="array" ref="I14">'EGRESOS'!N191</f>
        <v>0</v>
      </c>
      <c r="J14" s="34" cm="1">
        <f t="array" ref="J14">'EGRESOS'!O218</f>
        <v>2626.86</v>
      </c>
      <c r="K14" s="34" cm="1">
        <f t="array" ref="K14">'EGRESOS'!O242</f>
        <v>2344.63</v>
      </c>
      <c r="L14" s="34" cm="1">
        <f t="array" ref="L14">'EGRESOS'!O275</f>
        <v>15620.26</v>
      </c>
      <c r="M14" s="34" cm="1">
        <f t="array" ref="M14">'EGRESOS'!O300</f>
        <v>1659.53</v>
      </c>
      <c r="N14" s="35"/>
      <c r="O14" s="35"/>
      <c r="P14" s="36"/>
      <c r="Q14" s="16"/>
      <c r="R14" s="7"/>
      <c r="S14" s="7"/>
    </row>
    <row r="15" ht="13.55" customHeight="1">
      <c r="A15" s="9"/>
      <c r="B15" t="s" s="32">
        <v>29</v>
      </c>
      <c r="C15" s="33">
        <v>4810.72</v>
      </c>
      <c r="D15" s="34" cm="1">
        <f t="array" ref="D15">'EGRESOS'!P25</f>
        <v>575.4400000000001</v>
      </c>
      <c r="E15" s="34" cm="1">
        <f t="array" ref="E15">'EGRESOS'!P56</f>
        <v>645.53</v>
      </c>
      <c r="F15" s="34" cm="1">
        <f t="array" ref="F15">'EGRESOS'!O98</f>
        <v>4372.33</v>
      </c>
      <c r="G15" s="34" cm="1">
        <f t="array" ref="G15">'EGRESOS'!P130</f>
        <v>878.75</v>
      </c>
      <c r="H15" s="34" cm="1">
        <f t="array" ref="H15">'EGRESOS'!P155</f>
        <v>337.46</v>
      </c>
      <c r="I15" s="34" cm="1">
        <f t="array" ref="I15">'EGRESOS'!O191</f>
        <v>3555.11</v>
      </c>
      <c r="J15" s="34" cm="1">
        <f t="array" ref="J15">'EGRESOS'!P218</f>
        <v>369.85</v>
      </c>
      <c r="K15" s="34" cm="1">
        <f t="array" ref="K15">'EGRESOS'!P242</f>
        <v>169.7</v>
      </c>
      <c r="L15" s="34" cm="1">
        <f t="array" ref="L15">'EGRESOS'!P275</f>
        <v>373.72</v>
      </c>
      <c r="M15" s="34" cm="1">
        <f t="array" ref="M15">'EGRESOS'!P300</f>
        <v>277.12</v>
      </c>
      <c r="N15" s="35"/>
      <c r="O15" s="35"/>
      <c r="P15" s="36"/>
      <c r="Q15" s="16"/>
      <c r="R15" s="7"/>
      <c r="S15" s="7"/>
    </row>
    <row r="16" ht="13.55" customHeight="1">
      <c r="A16" s="9"/>
      <c r="B16" t="s" s="32">
        <v>30</v>
      </c>
      <c r="C16" s="33">
        <v>18623.46</v>
      </c>
      <c r="D16" s="34" cm="1">
        <f t="array" ref="D16">'EGRESOS'!Q25</f>
        <v>0</v>
      </c>
      <c r="E16" s="34" cm="1">
        <f t="array" ref="E16">'EGRESOS'!Q56</f>
        <v>3233.42</v>
      </c>
      <c r="F16" s="34" cm="1">
        <f t="array" ref="F16">'EGRESOS'!P98</f>
        <v>606.75</v>
      </c>
      <c r="G16" s="34" cm="1">
        <f t="array" ref="G16">'EGRESOS'!Q130</f>
        <v>0</v>
      </c>
      <c r="H16" s="34" cm="1">
        <f t="array" ref="H16">'EGRESOS'!Q155</f>
        <v>0</v>
      </c>
      <c r="I16" s="34" cm="1">
        <f t="array" ref="I16">'EGRESOS'!P191</f>
        <v>576.4</v>
      </c>
      <c r="J16" s="34" cm="1">
        <f t="array" ref="J16">'EGRESOS'!Q218</f>
        <v>0</v>
      </c>
      <c r="K16" s="34" cm="1">
        <f t="array" ref="K16">'EGRESOS'!Q242</f>
        <v>0</v>
      </c>
      <c r="L16" s="34" cm="1">
        <f t="array" ref="L16">'EGRESOS'!Q275</f>
        <v>1100</v>
      </c>
      <c r="M16" s="34" cm="1">
        <f t="array" ref="M16">'EGRESOS'!Q300</f>
        <v>4640</v>
      </c>
      <c r="N16" s="35"/>
      <c r="O16" s="35"/>
      <c r="P16" s="36"/>
      <c r="Q16" s="16"/>
      <c r="R16" s="7"/>
      <c r="S16" s="7"/>
    </row>
    <row r="17" ht="13.55" customHeight="1">
      <c r="A17" s="9"/>
      <c r="B17" t="s" s="32">
        <v>31</v>
      </c>
      <c r="C17" s="33">
        <v>231360</v>
      </c>
      <c r="D17" s="34" cm="1">
        <f t="array" ref="D17">'EGRESOS'!R25</f>
        <v>0</v>
      </c>
      <c r="E17" s="34" cm="1">
        <f t="array" ref="E17">'EGRESOS'!R56</f>
        <v>17400</v>
      </c>
      <c r="F17" s="34" cm="1">
        <f t="array" ref="F17">'EGRESOS'!Q98</f>
        <v>2683.54</v>
      </c>
      <c r="G17" s="34" cm="1">
        <f t="array" ref="G17">'EGRESOS'!R130</f>
        <v>120000</v>
      </c>
      <c r="H17" s="34" cm="1">
        <f t="array" ref="H17">'EGRESOS'!R155</f>
        <v>0</v>
      </c>
      <c r="I17" s="34" cm="1">
        <f t="array" ref="I17">'EGRESOS'!Q191</f>
        <v>6966.5</v>
      </c>
      <c r="J17" s="34" cm="1">
        <f t="array" ref="J17">'EGRESOS'!R218</f>
        <v>0</v>
      </c>
      <c r="K17" s="34" cm="1">
        <f t="array" ref="K17">'EGRESOS'!R242</f>
        <v>0</v>
      </c>
      <c r="L17" s="34" cm="1">
        <f t="array" ref="L17">'EGRESOS'!R275</f>
        <v>0</v>
      </c>
      <c r="M17" s="34" cm="1">
        <f t="array" ref="M17">'EGRESOS'!R300</f>
        <v>0</v>
      </c>
      <c r="N17" s="35"/>
      <c r="O17" s="35"/>
      <c r="P17" s="36"/>
      <c r="Q17" s="16"/>
      <c r="R17" s="7"/>
      <c r="S17" s="7"/>
    </row>
    <row r="18" ht="13.55" customHeight="1">
      <c r="A18" s="9"/>
      <c r="B18" t="s" s="32">
        <v>32</v>
      </c>
      <c r="C18" s="33">
        <v>79554.350000000006</v>
      </c>
      <c r="D18" s="34" cm="1">
        <f t="array" ref="D18">'EGRESOS'!S25</f>
        <v>0</v>
      </c>
      <c r="E18" s="34" cm="1">
        <f t="array" ref="E18">'EGRESOS'!S56</f>
        <v>0</v>
      </c>
      <c r="F18" s="34" cm="1">
        <f t="array" ref="F18">'EGRESOS'!R98</f>
        <v>93960</v>
      </c>
      <c r="G18" s="34" cm="1">
        <f t="array" ref="G18">'EGRESOS'!S130</f>
        <v>54896.4</v>
      </c>
      <c r="H18" s="34" cm="1">
        <f t="array" ref="H18">'EGRESOS'!S155</f>
        <v>24657.95</v>
      </c>
      <c r="I18" s="34" cm="1">
        <f t="array" ref="I18">'EGRESOS'!R191</f>
        <v>0</v>
      </c>
      <c r="J18" s="34" cm="1">
        <f t="array" ref="J18">'EGRESOS'!S218</f>
        <v>0</v>
      </c>
      <c r="K18" s="34" cm="1">
        <f t="array" ref="K18">'EGRESOS'!S242</f>
        <v>0</v>
      </c>
      <c r="L18" s="34" cm="1">
        <f t="array" ref="L18">'EGRESOS'!S275</f>
        <v>0</v>
      </c>
      <c r="M18" s="34" cm="1">
        <f t="array" ref="M18">'EGRESOS'!S300</f>
        <v>0</v>
      </c>
      <c r="N18" s="35"/>
      <c r="O18" s="35"/>
      <c r="P18" s="36"/>
      <c r="Q18" s="16"/>
      <c r="R18" s="7"/>
      <c r="S18" s="7"/>
    </row>
    <row r="19" ht="13.55" customHeight="1">
      <c r="A19" s="9"/>
      <c r="B19" t="s" s="32">
        <v>33</v>
      </c>
      <c r="C19" s="33">
        <v>509610.18</v>
      </c>
      <c r="D19" s="34" cm="1">
        <f t="array" ref="D19">'EGRESOS'!U25</f>
        <v>0</v>
      </c>
      <c r="E19" s="34" cm="1">
        <f t="array" ref="E19">'EGRESOS'!T56</f>
        <v>0</v>
      </c>
      <c r="F19" s="34" cm="1">
        <f t="array" ref="F19">'EGRESOS'!S98</f>
        <v>0</v>
      </c>
      <c r="G19" s="34" cm="1">
        <f t="array" ref="G19">'EGRESOS'!S130</f>
        <v>54896.4</v>
      </c>
      <c r="H19" s="34" cm="1">
        <f t="array" ref="H19">'EGRESOS'!T155</f>
        <v>0</v>
      </c>
      <c r="I19" s="34" cm="1">
        <f t="array" ref="I19">'EGRESOS'!S191</f>
        <v>0</v>
      </c>
      <c r="J19" s="34" cm="1">
        <f t="array" ref="J19">'EGRESOS'!T218</f>
        <v>217453.6</v>
      </c>
      <c r="K19" s="34" cm="1">
        <f t="array" ref="K19">'EGRESOS'!T242</f>
        <v>35011.03</v>
      </c>
      <c r="L19" s="34" cm="1">
        <f t="array" ref="L19">'EGRESOS'!T275</f>
        <v>213645.55</v>
      </c>
      <c r="M19" s="34" cm="1">
        <f t="array" ref="M19">'EGRESOS'!T300</f>
        <v>43500</v>
      </c>
      <c r="N19" s="35"/>
      <c r="O19" s="35"/>
      <c r="P19" s="36"/>
      <c r="Q19" s="16"/>
      <c r="R19" s="7"/>
      <c r="S19" s="7"/>
    </row>
    <row r="20" ht="13.55" customHeight="1">
      <c r="A20" s="9"/>
      <c r="B20" t="s" s="32">
        <v>34</v>
      </c>
      <c r="C20" s="33">
        <v>40405.1</v>
      </c>
      <c r="D20" s="34" cm="1">
        <f t="array" ref="D20">'EGRESOS'!U25</f>
        <v>0</v>
      </c>
      <c r="E20" s="34" cm="1">
        <f t="array" ref="E20">'EGRESOS'!U56</f>
        <v>0</v>
      </c>
      <c r="F20" s="34" cm="1">
        <f t="array" ref="F20">'EGRESOS'!T98</f>
        <v>0</v>
      </c>
      <c r="G20" s="34" cm="1">
        <f t="array" ref="G20">'EGRESOS'!T130</f>
        <v>0</v>
      </c>
      <c r="H20" s="34" cm="1">
        <f t="array" ref="H20">'EGRESOS'!U155</f>
        <v>0</v>
      </c>
      <c r="I20" s="34" cm="1">
        <f t="array" ref="I20">'EGRESOS'!T191</f>
        <v>0</v>
      </c>
      <c r="J20" s="34" cm="1">
        <f t="array" ref="J20">'EGRESOS'!U218</f>
        <v>0</v>
      </c>
      <c r="K20" s="34" cm="1">
        <f t="array" ref="K20">'EGRESOS'!U242</f>
        <v>30535.26</v>
      </c>
      <c r="L20" s="34" cm="1">
        <f t="array" ref="L20">'EGRESOS'!U275</f>
        <v>9869.84</v>
      </c>
      <c r="M20" s="34" cm="1">
        <f t="array" ref="M20">'EGRESOS'!U300</f>
        <v>0</v>
      </c>
      <c r="N20" s="35"/>
      <c r="O20" s="35"/>
      <c r="P20" s="36"/>
      <c r="Q20" s="16"/>
      <c r="R20" s="7"/>
      <c r="S20" s="7"/>
    </row>
    <row r="21" ht="13.55" customHeight="1">
      <c r="A21" s="9"/>
      <c r="B21" t="s" s="32">
        <v>35</v>
      </c>
      <c r="C21" s="33">
        <v>246346</v>
      </c>
      <c r="D21" s="34" cm="1">
        <f t="array" ref="D21">'EGRESOS'!V25</f>
        <v>0</v>
      </c>
      <c r="E21" s="34" cm="1">
        <f t="array" ref="E21">'EGRESOS'!V56</f>
        <v>0</v>
      </c>
      <c r="F21" s="34" cm="1">
        <f t="array" ref="F21">'EGRESOS'!W56</f>
        <v>0</v>
      </c>
      <c r="G21" s="34" cm="1">
        <f t="array" ref="G21">'EGRESOS'!U130</f>
        <v>0</v>
      </c>
      <c r="H21" s="34" cm="1">
        <f t="array" ref="H21">'EGRESOS'!V155</f>
        <v>0</v>
      </c>
      <c r="I21" s="34" cm="1">
        <f t="array" ref="I21">'EGRESOS'!V191</f>
        <v>0</v>
      </c>
      <c r="J21" s="34" cm="1">
        <f t="array" ref="J21">'EGRESOS'!V218</f>
        <v>0</v>
      </c>
      <c r="K21" s="34" cm="1">
        <f t="array" ref="K21">'EGRESOS'!V242</f>
        <v>0</v>
      </c>
      <c r="L21" s="34" cm="1">
        <f t="array" ref="L21">'EGRESOS'!V275</f>
        <v>90860</v>
      </c>
      <c r="M21" s="34" cm="1">
        <f t="array" ref="M21">'EGRESOS'!V300</f>
        <v>155486</v>
      </c>
      <c r="N21" s="35"/>
      <c r="O21" s="35"/>
      <c r="P21" s="36"/>
      <c r="Q21" s="16"/>
      <c r="R21" s="7"/>
      <c r="S21" s="7"/>
    </row>
    <row r="22" ht="13.55" customHeight="1">
      <c r="A22" s="9"/>
      <c r="B22" t="s" s="32">
        <v>36</v>
      </c>
      <c r="C22" s="33">
        <v>12617.91</v>
      </c>
      <c r="D22" s="34" cm="1">
        <f t="array" ref="D22">'EGRESOS'!W25</f>
        <v>0</v>
      </c>
      <c r="E22" s="34" cm="1">
        <f t="array" ref="E22">'EGRESOS'!X25</f>
        <v>105174.54</v>
      </c>
      <c r="F22" s="34" cm="1">
        <f t="array" ref="F22">'EGRESOS'!Y25</f>
        <v>0</v>
      </c>
      <c r="G22" s="34" cm="1">
        <f t="array" ref="G22">'EGRESOS'!W130</f>
        <v>0</v>
      </c>
      <c r="H22" s="34" cm="1">
        <f t="array" ref="H22">'EGRESOS'!W155</f>
        <v>0</v>
      </c>
      <c r="I22" s="34" cm="1">
        <f t="array" ref="I22">'EGRESOS'!W191</f>
        <v>0</v>
      </c>
      <c r="J22" s="34" cm="1">
        <f t="array" ref="J22">'EGRESOS'!W218</f>
        <v>0</v>
      </c>
      <c r="K22" s="34" cm="1">
        <f t="array" ref="K22">'EGRESOS'!W242</f>
        <v>0</v>
      </c>
      <c r="L22" s="34" cm="1">
        <f t="array" ref="L22">'EGRESOS'!W275</f>
        <v>0</v>
      </c>
      <c r="M22" s="34" cm="1">
        <f t="array" ref="M22">'EGRESOS'!W300</f>
        <v>12617.91</v>
      </c>
      <c r="N22" s="35"/>
      <c r="O22" s="35"/>
      <c r="P22" s="36"/>
      <c r="Q22" s="16"/>
      <c r="R22" s="7"/>
      <c r="S22" s="7"/>
    </row>
    <row r="23" ht="15.75" customHeight="1">
      <c r="A23" s="9"/>
      <c r="B23" s="37"/>
      <c r="C23" s="38" cm="1">
        <f t="array" ref="C23">SUM(C7:C22)</f>
        <v>1948402.72</v>
      </c>
      <c r="D23" s="39" cm="1">
        <f t="array" ref="D23">SUM(D7:D22)</f>
        <v>105174.54</v>
      </c>
      <c r="E23" s="40" cm="1">
        <f t="array" ref="E23">SUM(E7:E22)</f>
        <v>178550.26</v>
      </c>
      <c r="F23" s="40" cm="1">
        <f t="array" ref="F23">SUM(F7:F22)</f>
        <v>274255.36</v>
      </c>
      <c r="G23" s="40" cm="1">
        <f t="array" ref="G23">SUM(G7:G22)</f>
        <v>409016.38</v>
      </c>
      <c r="H23" s="40" cm="1">
        <f t="array" ref="H23">SUM(H7:H22)</f>
        <v>68781.899999999994</v>
      </c>
      <c r="I23" s="40" cm="1">
        <f t="array" ref="I23">SUM(I7:I22)</f>
        <v>39513.16</v>
      </c>
      <c r="J23" s="40" cm="1">
        <f t="array" ref="J23">SUM(J7:J22)</f>
        <v>346992.14</v>
      </c>
      <c r="K23" s="40" cm="1">
        <f t="array" ref="K23">SUM(K7:K22)</f>
        <v>95035.83</v>
      </c>
      <c r="L23" s="40" cm="1">
        <f t="array" ref="L23">SUM(L7:L22)</f>
        <v>358473.53</v>
      </c>
      <c r="M23" s="40" cm="1">
        <f t="array" ref="M23">SUM(M7:M22)</f>
        <v>260655.77</v>
      </c>
      <c r="N23" s="40" cm="1">
        <f t="array" ref="N23">SUM(N7:N22)</f>
        <v>0</v>
      </c>
      <c r="O23" s="40" cm="1">
        <f t="array" ref="O23">SUM(O7:O22)</f>
        <v>0</v>
      </c>
      <c r="P23" s="9"/>
      <c r="Q23" s="16"/>
      <c r="R23" s="7"/>
      <c r="S23" s="7"/>
    </row>
    <row r="24" ht="13.55" customHeight="1">
      <c r="A24" s="9"/>
      <c r="B24" s="16"/>
      <c r="C24" s="22"/>
      <c r="D24" s="7"/>
      <c r="E24" s="7"/>
      <c r="F24" s="7"/>
      <c r="G24" s="7"/>
      <c r="H24" s="7"/>
      <c r="I24" s="7"/>
      <c r="J24" s="7"/>
      <c r="K24" s="7"/>
      <c r="L24" s="7"/>
      <c r="M24" s="7"/>
      <c r="N24" s="7"/>
      <c r="O24" s="7"/>
      <c r="P24" s="9"/>
      <c r="Q24" s="16"/>
      <c r="R24" s="7"/>
      <c r="S24" s="7"/>
    </row>
    <row r="25" ht="13.55" customHeight="1">
      <c r="A25" s="9"/>
      <c r="B25" s="16"/>
      <c r="C25" t="s" s="26">
        <v>8</v>
      </c>
      <c r="D25" t="s" s="26">
        <v>8</v>
      </c>
      <c r="E25" s="7"/>
      <c r="F25" s="7"/>
      <c r="G25" s="7"/>
      <c r="H25" s="7"/>
      <c r="I25" s="7"/>
      <c r="J25" s="7"/>
      <c r="K25" s="7"/>
      <c r="L25" s="7"/>
      <c r="M25" s="7"/>
      <c r="N25" s="7"/>
      <c r="O25" s="7"/>
      <c r="P25" s="9"/>
      <c r="Q25" s="16"/>
      <c r="R25" s="7"/>
      <c r="S25" s="7"/>
    </row>
    <row r="26" ht="15.75" customHeight="1">
      <c r="A26" s="9"/>
      <c r="B26" s="41"/>
      <c r="C26" s="8"/>
      <c r="D26" s="8"/>
      <c r="E26" s="8"/>
      <c r="F26" s="8"/>
      <c r="G26" s="8"/>
      <c r="H26" s="8"/>
      <c r="I26" s="8"/>
      <c r="J26" s="8"/>
      <c r="K26" s="8"/>
      <c r="L26" s="8"/>
      <c r="M26" s="8"/>
      <c r="N26" s="8"/>
      <c r="O26" s="8"/>
      <c r="P26" s="42"/>
      <c r="Q26" s="16"/>
      <c r="R26" s="7"/>
      <c r="S26"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L34"/>
  <sheetViews>
    <sheetView workbookViewId="0" showGridLines="0" defaultGridColor="1"/>
  </sheetViews>
  <sheetFormatPr defaultColWidth="10.8333" defaultRowHeight="15" customHeight="1" outlineLevelRow="0" outlineLevelCol="0"/>
  <cols>
    <col min="1" max="1" width="10.8516" style="43" customWidth="1"/>
    <col min="2" max="2" width="24.5" style="43" customWidth="1"/>
    <col min="3" max="3" width="17.1719" style="43" customWidth="1"/>
    <col min="4" max="4" width="23.1719" style="43" customWidth="1"/>
    <col min="5" max="5" width="20.6719" style="43" customWidth="1"/>
    <col min="6" max="6" width="23.1719" style="43" customWidth="1"/>
    <col min="7" max="7" width="21" style="43" customWidth="1"/>
    <col min="8" max="8" width="18.6719" style="43" customWidth="1"/>
    <col min="9" max="9" width="18" style="43" customWidth="1"/>
    <col min="10" max="10" width="18.6719" style="43" customWidth="1"/>
    <col min="11" max="11" width="17.8516" style="43" customWidth="1"/>
    <col min="12" max="12" width="14.5" style="43" customWidth="1"/>
    <col min="13" max="16384" width="10.8516" style="43" customWidth="1"/>
  </cols>
  <sheetData>
    <row r="1" ht="15.75" customHeight="1">
      <c r="A1" s="7"/>
      <c r="B1" s="8"/>
      <c r="C1" s="8"/>
      <c r="D1" s="8"/>
      <c r="E1" s="8"/>
      <c r="F1" s="8"/>
      <c r="G1" s="8"/>
      <c r="H1" s="8"/>
      <c r="I1" s="8"/>
      <c r="J1" s="8"/>
      <c r="K1" s="8"/>
      <c r="L1" s="8"/>
    </row>
    <row r="2" ht="26.25" customHeight="1">
      <c r="A2" s="9"/>
      <c r="B2" t="s" s="44">
        <v>38</v>
      </c>
      <c r="C2" s="12"/>
      <c r="D2" s="12"/>
      <c r="E2" s="12"/>
      <c r="F2" s="12"/>
      <c r="G2" s="12"/>
      <c r="H2" s="12"/>
      <c r="I2" s="12"/>
      <c r="J2" s="45"/>
      <c r="K2" s="46"/>
      <c r="L2" s="15"/>
    </row>
    <row r="3" ht="21" customHeight="1">
      <c r="A3" s="9"/>
      <c r="B3" s="47"/>
      <c r="C3" s="48">
        <v>1385</v>
      </c>
      <c r="D3" t="s" s="49">
        <v>39</v>
      </c>
      <c r="E3" t="s" s="49">
        <v>40</v>
      </c>
      <c r="F3" t="s" s="49">
        <v>41</v>
      </c>
      <c r="G3" t="s" s="49">
        <v>42</v>
      </c>
      <c r="H3" t="s" s="49">
        <v>35</v>
      </c>
      <c r="I3" s="50"/>
      <c r="J3" t="s" s="49">
        <v>8</v>
      </c>
      <c r="K3" t="s" s="49">
        <v>8</v>
      </c>
      <c r="L3" t="s" s="51">
        <v>8</v>
      </c>
    </row>
    <row r="4" ht="21" customHeight="1">
      <c r="A4" s="9"/>
      <c r="B4" t="s" s="52">
        <v>43</v>
      </c>
      <c r="C4" s="53"/>
      <c r="D4" s="54" cm="1">
        <f t="array" ref="D4">E4+F4+G4+H4+I4</f>
        <v>1352584.83</v>
      </c>
      <c r="E4" s="55">
        <v>71550</v>
      </c>
      <c r="F4" s="55">
        <v>1117300</v>
      </c>
      <c r="G4" s="55">
        <v>119950</v>
      </c>
      <c r="H4" s="55">
        <v>43784.83</v>
      </c>
      <c r="I4" s="54">
        <v>0</v>
      </c>
      <c r="J4" t="s" s="56">
        <v>8</v>
      </c>
      <c r="K4" s="54"/>
      <c r="L4" s="57"/>
    </row>
    <row r="5" ht="18.75" customHeight="1">
      <c r="A5" s="9"/>
      <c r="B5" s="47"/>
      <c r="C5" s="35"/>
      <c r="D5" s="58"/>
      <c r="E5" s="59"/>
      <c r="F5" s="59"/>
      <c r="G5" s="59"/>
      <c r="H5" s="59"/>
      <c r="I5" s="59"/>
      <c r="J5" s="35"/>
      <c r="K5" s="35"/>
      <c r="L5" s="60"/>
    </row>
    <row r="6" ht="18.75" customHeight="1">
      <c r="A6" s="9"/>
      <c r="B6" s="47"/>
      <c r="C6" s="35"/>
      <c r="D6" s="58"/>
      <c r="E6" s="59"/>
      <c r="F6" s="59"/>
      <c r="G6" s="59"/>
      <c r="H6" s="59"/>
      <c r="I6" s="59"/>
      <c r="J6" s="35"/>
      <c r="K6" s="35"/>
      <c r="L6" s="60"/>
    </row>
    <row r="7" ht="21" customHeight="1">
      <c r="A7" s="9"/>
      <c r="B7" t="s" s="61">
        <v>21</v>
      </c>
      <c r="C7" s="33">
        <v>1400</v>
      </c>
      <c r="D7" s="62"/>
      <c r="E7" s="62"/>
      <c r="F7" s="62"/>
      <c r="G7" s="62">
        <v>1400</v>
      </c>
      <c r="H7" t="s" s="63">
        <v>8</v>
      </c>
      <c r="I7" s="62"/>
      <c r="J7" s="64"/>
      <c r="K7" s="64"/>
      <c r="L7" s="65"/>
    </row>
    <row r="8" ht="21" customHeight="1">
      <c r="A8" s="9"/>
      <c r="B8" t="s" s="61">
        <v>22</v>
      </c>
      <c r="C8" s="34">
        <v>4640</v>
      </c>
      <c r="D8" s="62"/>
      <c r="E8" s="62"/>
      <c r="F8" s="62"/>
      <c r="G8" s="62">
        <v>4640</v>
      </c>
      <c r="H8" t="s" s="63">
        <v>8</v>
      </c>
      <c r="I8" s="62"/>
      <c r="J8" s="64"/>
      <c r="K8" s="64"/>
      <c r="L8" s="65"/>
    </row>
    <row r="9" ht="21" customHeight="1">
      <c r="A9" s="9"/>
      <c r="B9" t="s" s="61">
        <v>23</v>
      </c>
      <c r="C9" s="33">
        <v>6032</v>
      </c>
      <c r="D9" s="62"/>
      <c r="E9" s="62"/>
      <c r="F9" s="62"/>
      <c r="G9" s="62" cm="1">
        <f t="array" ref="G9">C9</f>
        <v>6032</v>
      </c>
      <c r="H9" s="62"/>
      <c r="I9" s="62"/>
      <c r="J9" s="64"/>
      <c r="K9" s="64"/>
      <c r="L9" s="65"/>
    </row>
    <row r="10" ht="21" customHeight="1">
      <c r="A10" s="9"/>
      <c r="B10" t="s" s="61">
        <v>24</v>
      </c>
      <c r="C10" s="33">
        <v>13272.32</v>
      </c>
      <c r="D10" s="62"/>
      <c r="E10" s="62"/>
      <c r="F10" s="62"/>
      <c r="G10" s="62" cm="1">
        <f t="array" ref="G10">C10</f>
        <v>13272.32</v>
      </c>
      <c r="H10" s="62"/>
      <c r="I10" s="62"/>
      <c r="J10" s="64"/>
      <c r="K10" s="64"/>
      <c r="L10" s="65"/>
    </row>
    <row r="11" ht="21" customHeight="1">
      <c r="A11" s="9"/>
      <c r="B11" t="s" s="61">
        <v>25</v>
      </c>
      <c r="C11" s="33">
        <v>9340</v>
      </c>
      <c r="D11" s="62"/>
      <c r="E11" s="62"/>
      <c r="F11" s="62"/>
      <c r="G11" s="62" cm="1">
        <f t="array" ref="G11">C11</f>
        <v>9340</v>
      </c>
      <c r="H11" s="62"/>
      <c r="I11" s="62"/>
      <c r="J11" s="64"/>
      <c r="K11" s="64"/>
      <c r="L11" s="65"/>
    </row>
    <row r="12" ht="21" customHeight="1">
      <c r="A12" s="9"/>
      <c r="B12" t="s" s="61">
        <v>26</v>
      </c>
      <c r="C12" s="33">
        <v>266130.7</v>
      </c>
      <c r="D12" s="62"/>
      <c r="E12" s="62"/>
      <c r="F12" s="62" cm="1">
        <f t="array" ref="F12">C12</f>
        <v>266130.7</v>
      </c>
      <c r="G12" s="62"/>
      <c r="H12" s="62"/>
      <c r="I12" s="62"/>
      <c r="J12" s="64"/>
      <c r="K12" s="64"/>
      <c r="L12" s="65"/>
    </row>
    <row r="13" ht="21" customHeight="1">
      <c r="A13" s="9"/>
      <c r="B13" t="s" s="61">
        <v>27</v>
      </c>
      <c r="C13" s="33">
        <v>461850</v>
      </c>
      <c r="D13" s="62"/>
      <c r="E13" s="62"/>
      <c r="F13" s="62" cm="1">
        <f t="array" ref="F13">C13</f>
        <v>461850</v>
      </c>
      <c r="G13" s="62"/>
      <c r="H13" s="62"/>
      <c r="I13" s="62"/>
      <c r="J13" s="64"/>
      <c r="K13" s="64"/>
      <c r="L13" s="65"/>
    </row>
    <row r="14" ht="21" customHeight="1">
      <c r="A14" s="9"/>
      <c r="B14" t="s" s="61">
        <v>28</v>
      </c>
      <c r="C14" s="33">
        <v>42409.98</v>
      </c>
      <c r="D14" s="62"/>
      <c r="E14" s="62"/>
      <c r="F14" s="62"/>
      <c r="G14" s="62" cm="1">
        <f t="array" ref="G14">C14</f>
        <v>42409.98</v>
      </c>
      <c r="H14" s="62"/>
      <c r="I14" s="62"/>
      <c r="J14" s="64"/>
      <c r="K14" s="64"/>
      <c r="L14" s="65"/>
    </row>
    <row r="15" ht="21" customHeight="1">
      <c r="A15" s="9"/>
      <c r="B15" t="s" s="61">
        <v>29</v>
      </c>
      <c r="C15" s="33">
        <v>4810.72</v>
      </c>
      <c r="D15" s="62"/>
      <c r="E15" s="62"/>
      <c r="F15" s="62"/>
      <c r="G15" s="62" cm="1">
        <f t="array" ref="G15">C15</f>
        <v>4810.72</v>
      </c>
      <c r="H15" s="62"/>
      <c r="I15" s="62"/>
      <c r="J15" s="64"/>
      <c r="K15" s="64"/>
      <c r="L15" s="65"/>
    </row>
    <row r="16" ht="21" customHeight="1">
      <c r="A16" s="9"/>
      <c r="B16" t="s" s="61">
        <v>30</v>
      </c>
      <c r="C16" s="33">
        <v>18623.46</v>
      </c>
      <c r="D16" s="62"/>
      <c r="E16" s="62"/>
      <c r="F16" s="62"/>
      <c r="G16" s="62" cm="1">
        <f t="array" ref="G16">C16</f>
        <v>18623.46</v>
      </c>
      <c r="H16" s="62"/>
      <c r="I16" s="62"/>
      <c r="J16" s="64"/>
      <c r="K16" s="64"/>
      <c r="L16" s="65"/>
    </row>
    <row r="17" ht="21" customHeight="1">
      <c r="A17" s="9"/>
      <c r="B17" t="s" s="61">
        <v>31</v>
      </c>
      <c r="C17" s="33">
        <v>231360</v>
      </c>
      <c r="D17" s="62"/>
      <c r="E17" s="62"/>
      <c r="F17" s="62" cm="1">
        <f t="array" ref="F17">C17</f>
        <v>231360</v>
      </c>
      <c r="G17" s="62"/>
      <c r="H17" s="62"/>
      <c r="I17" s="62"/>
      <c r="J17" s="64"/>
      <c r="K17" s="64"/>
      <c r="L17" s="65"/>
    </row>
    <row r="18" ht="21" customHeight="1">
      <c r="A18" s="9"/>
      <c r="B18" t="s" s="61">
        <v>32</v>
      </c>
      <c r="C18" s="33">
        <v>79554.350000000006</v>
      </c>
      <c r="D18" s="62"/>
      <c r="E18" s="62"/>
      <c r="F18" s="62" cm="1">
        <f t="array" ref="F18">C18</f>
        <v>79554.350000000006</v>
      </c>
      <c r="G18" t="s" s="63">
        <v>8</v>
      </c>
      <c r="H18" s="62"/>
      <c r="I18" s="62"/>
      <c r="J18" s="64"/>
      <c r="K18" s="64"/>
      <c r="L18" s="65"/>
    </row>
    <row r="19" ht="21" customHeight="1">
      <c r="A19" s="9"/>
      <c r="B19" t="s" s="61">
        <v>33</v>
      </c>
      <c r="C19" s="33">
        <v>509610.18</v>
      </c>
      <c r="D19" s="62"/>
      <c r="E19" s="62"/>
      <c r="F19" s="62" cm="1">
        <f t="array" ref="F19">C19</f>
        <v>509610.18</v>
      </c>
      <c r="G19" s="62"/>
      <c r="H19" s="62"/>
      <c r="I19" s="62"/>
      <c r="J19" s="64"/>
      <c r="K19" s="64"/>
      <c r="L19" s="65"/>
    </row>
    <row r="20" ht="21" customHeight="1">
      <c r="A20" s="9"/>
      <c r="B20" t="s" s="61">
        <v>34</v>
      </c>
      <c r="C20" s="33">
        <v>40405.1</v>
      </c>
      <c r="D20" s="62"/>
      <c r="E20" s="62"/>
      <c r="F20" s="62"/>
      <c r="G20" t="s" s="63">
        <v>8</v>
      </c>
      <c r="H20" s="62" cm="1">
        <f t="array" ref="H20">C20</f>
        <v>40405.1</v>
      </c>
      <c r="I20" s="62"/>
      <c r="J20" s="64"/>
      <c r="K20" s="64"/>
      <c r="L20" s="65"/>
    </row>
    <row r="21" ht="21" customHeight="1">
      <c r="A21" s="9"/>
      <c r="B21" t="s" s="61">
        <v>35</v>
      </c>
      <c r="C21" s="33">
        <v>246346</v>
      </c>
      <c r="D21" s="62"/>
      <c r="E21" s="62"/>
      <c r="F21" s="62" cm="1">
        <f t="array" ref="F21">C21</f>
        <v>246346</v>
      </c>
      <c r="G21" s="62"/>
      <c r="H21" s="62"/>
      <c r="I21" s="62"/>
      <c r="J21" s="64"/>
      <c r="K21" s="64"/>
      <c r="L21" s="65"/>
    </row>
    <row r="22" ht="21" customHeight="1">
      <c r="A22" s="9"/>
      <c r="B22" t="s" s="61">
        <v>36</v>
      </c>
      <c r="C22" s="33">
        <v>12617.91</v>
      </c>
      <c r="D22" s="62"/>
      <c r="E22" s="62"/>
      <c r="F22" s="62"/>
      <c r="G22" s="62">
        <v>7466.78</v>
      </c>
      <c r="H22" s="62"/>
      <c r="I22" s="62"/>
      <c r="J22" s="64"/>
      <c r="K22" s="64"/>
      <c r="L22" s="65"/>
    </row>
    <row r="23" ht="15.75" customHeight="1">
      <c r="A23" s="9"/>
      <c r="B23" s="47"/>
      <c r="C23" s="38" cm="1">
        <f t="array" ref="C23">SUM(C7:C22)</f>
        <v>1948402.72</v>
      </c>
      <c r="D23" s="62"/>
      <c r="E23" s="62"/>
      <c r="F23" s="62" cm="1">
        <f t="array" ref="F23">SUM(F6:F22)</f>
        <v>1794851.23</v>
      </c>
      <c r="G23" s="62" cm="1">
        <f t="array" ref="G23">SUM(G6:G22)</f>
        <v>107995.26</v>
      </c>
      <c r="H23" s="62" cm="1">
        <f t="array" ref="H23">SUM(H6:H22)</f>
        <v>40405.1</v>
      </c>
      <c r="I23" s="62"/>
      <c r="J23" s="64"/>
      <c r="K23" s="64"/>
      <c r="L23" s="65"/>
    </row>
    <row r="24" ht="15.75" customHeight="1">
      <c r="A24" s="9"/>
      <c r="B24" s="47"/>
      <c r="C24" s="33"/>
      <c r="D24" s="62"/>
      <c r="E24" s="62"/>
      <c r="F24" s="62"/>
      <c r="G24" s="62"/>
      <c r="H24" s="62"/>
      <c r="I24" s="62"/>
      <c r="J24" s="64"/>
      <c r="K24" s="64"/>
      <c r="L24" s="65"/>
    </row>
    <row r="25" ht="18.75" customHeight="1">
      <c r="A25" s="9"/>
      <c r="B25" s="47"/>
      <c r="C25" s="35"/>
      <c r="D25" s="53"/>
      <c r="E25" s="53"/>
      <c r="F25" s="53"/>
      <c r="G25" s="53"/>
      <c r="H25" s="53"/>
      <c r="I25" s="53"/>
      <c r="J25" s="53"/>
      <c r="K25" s="53"/>
      <c r="L25" s="66"/>
    </row>
    <row r="26" ht="18.75" customHeight="1">
      <c r="A26" s="9"/>
      <c r="B26" s="47"/>
      <c r="C26" s="35"/>
      <c r="D26" s="58"/>
      <c r="E26" s="59"/>
      <c r="F26" s="59"/>
      <c r="G26" s="59"/>
      <c r="H26" s="59"/>
      <c r="I26" s="59"/>
      <c r="J26" s="35"/>
      <c r="K26" s="35"/>
      <c r="L26" s="60"/>
    </row>
    <row r="27" ht="18.75" customHeight="1">
      <c r="A27" s="9"/>
      <c r="B27" s="47"/>
      <c r="C27" t="s" s="67">
        <v>44</v>
      </c>
      <c r="D27" t="s" s="67">
        <v>45</v>
      </c>
      <c r="E27" s="68" cm="1">
        <f t="array" ref="E27">D25+G25</f>
        <v>0</v>
      </c>
      <c r="F27" s="59"/>
      <c r="G27" s="59"/>
      <c r="H27" s="59"/>
      <c r="I27" s="59"/>
      <c r="J27" s="35"/>
      <c r="K27" s="35"/>
      <c r="L27" s="60"/>
    </row>
    <row r="28" ht="19.5" customHeight="1">
      <c r="A28" s="9"/>
      <c r="B28" s="47"/>
      <c r="C28" s="35"/>
      <c r="D28" t="s" s="67">
        <v>46</v>
      </c>
      <c r="E28" s="69" cm="1">
        <f t="array" ref="E28">E25+F25+H25+I25+J25+K25+L25</f>
        <v>0</v>
      </c>
      <c r="F28" s="59"/>
      <c r="G28" s="59"/>
      <c r="H28" s="59"/>
      <c r="I28" s="70"/>
      <c r="J28" s="54"/>
      <c r="K28" s="71"/>
      <c r="L28" s="60"/>
    </row>
    <row r="29" ht="19.5" customHeight="1">
      <c r="A29" s="9"/>
      <c r="B29" s="47"/>
      <c r="C29" s="35"/>
      <c r="D29" t="s" s="72">
        <v>47</v>
      </c>
      <c r="E29" t="s" s="73">
        <v>8</v>
      </c>
      <c r="F29" s="74"/>
      <c r="G29" s="59"/>
      <c r="H29" s="59"/>
      <c r="I29" s="59"/>
      <c r="J29" s="35"/>
      <c r="K29" s="35"/>
      <c r="L29" s="60"/>
    </row>
    <row r="30" ht="15.75" customHeight="1">
      <c r="A30" s="9"/>
      <c r="B30" s="75"/>
      <c r="C30" s="76"/>
      <c r="D30" s="76"/>
      <c r="E30" s="76"/>
      <c r="F30" s="76"/>
      <c r="G30" s="76"/>
      <c r="H30" s="76"/>
      <c r="I30" s="76"/>
      <c r="J30" s="76"/>
      <c r="K30" s="76"/>
      <c r="L30" s="77"/>
    </row>
    <row r="31" ht="14.05" customHeight="1">
      <c r="A31" s="7"/>
      <c r="B31" s="78"/>
      <c r="C31" s="78"/>
      <c r="D31" s="78"/>
      <c r="E31" s="78"/>
      <c r="F31" s="78"/>
      <c r="G31" s="78"/>
      <c r="H31" s="78"/>
      <c r="I31" s="78"/>
      <c r="J31" s="78"/>
      <c r="K31" s="78"/>
      <c r="L31" s="78"/>
    </row>
    <row r="32" ht="13.55" customHeight="1">
      <c r="A32" s="7"/>
      <c r="B32" s="7"/>
      <c r="C32" s="7"/>
      <c r="D32" s="7"/>
      <c r="E32" s="7"/>
      <c r="F32" s="7"/>
      <c r="G32" s="7"/>
      <c r="H32" s="7"/>
      <c r="I32" s="7"/>
      <c r="J32" s="7"/>
      <c r="K32" s="7"/>
      <c r="L32" s="7"/>
    </row>
    <row r="33" ht="13.55" customHeight="1">
      <c r="A33" s="7"/>
      <c r="B33" s="30"/>
      <c r="C33" s="30"/>
      <c r="D33" s="30"/>
      <c r="E33" s="30"/>
      <c r="F33" s="30"/>
      <c r="G33" s="30"/>
      <c r="H33" s="30"/>
      <c r="I33" s="30"/>
      <c r="J33" s="30"/>
      <c r="K33" s="30"/>
      <c r="L33" s="30"/>
    </row>
    <row r="34" ht="13.55" customHeight="1">
      <c r="A34" s="79"/>
      <c r="B34" t="s" s="80">
        <v>8</v>
      </c>
      <c r="C34" t="s" s="80">
        <v>8</v>
      </c>
      <c r="D34" t="s" s="80">
        <v>8</v>
      </c>
      <c r="E34" t="s" s="80">
        <v>8</v>
      </c>
      <c r="F34" t="s" s="80">
        <v>8</v>
      </c>
      <c r="G34" t="s" s="80">
        <v>8</v>
      </c>
      <c r="H34" t="s" s="80">
        <v>8</v>
      </c>
      <c r="I34" t="s" s="80">
        <v>8</v>
      </c>
      <c r="J34" t="s" s="80">
        <v>8</v>
      </c>
      <c r="K34" t="s" s="80">
        <v>8</v>
      </c>
      <c r="L34" t="s" s="80">
        <v>8</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M307"/>
  <sheetViews>
    <sheetView workbookViewId="0" showGridLines="0" defaultGridColor="1"/>
  </sheetViews>
  <sheetFormatPr defaultColWidth="10.8333" defaultRowHeight="15" customHeight="1" outlineLevelRow="0" outlineLevelCol="0"/>
  <cols>
    <col min="1" max="2" width="10.8516" style="81" customWidth="1"/>
    <col min="3" max="3" width="11.5" style="81" customWidth="1"/>
    <col min="4" max="4" width="30.5" style="81" customWidth="1"/>
    <col min="5" max="5" width="38.5" style="81" customWidth="1"/>
    <col min="6" max="6" width="14.5" style="81" customWidth="1"/>
    <col min="7" max="7" width="15.5" style="81" customWidth="1"/>
    <col min="8" max="8" width="15.3516" style="81" customWidth="1"/>
    <col min="9" max="9" width="14.8516" style="81" customWidth="1"/>
    <col min="10" max="10" width="15.6719" style="81" customWidth="1"/>
    <col min="11" max="11" width="13.6719" style="81" customWidth="1"/>
    <col min="12" max="12" width="13" style="81" customWidth="1"/>
    <col min="13" max="13" width="10.8516" style="81" customWidth="1"/>
    <col min="14" max="16384" width="10.8516" style="81" customWidth="1"/>
  </cols>
  <sheetData>
    <row r="1" ht="15.75" customHeight="1">
      <c r="A1" s="7"/>
      <c r="B1" s="8"/>
      <c r="C1" s="8"/>
      <c r="D1" s="8"/>
      <c r="E1" s="8"/>
      <c r="F1" s="8"/>
      <c r="G1" s="8"/>
      <c r="H1" s="30"/>
      <c r="I1" s="30"/>
      <c r="J1" s="30"/>
      <c r="K1" s="30"/>
      <c r="L1" s="30"/>
      <c r="M1" s="30"/>
    </row>
    <row r="2" ht="20.25" customHeight="1">
      <c r="A2" s="79"/>
      <c r="B2" t="s" s="82">
        <v>8</v>
      </c>
      <c r="C2" t="s" s="83">
        <v>49</v>
      </c>
      <c r="D2" s="84"/>
      <c r="E2" s="84"/>
      <c r="F2" s="84"/>
      <c r="G2" s="85"/>
      <c r="H2" s="35"/>
      <c r="I2" s="35"/>
      <c r="J2" s="35"/>
      <c r="K2" s="35"/>
      <c r="L2" s="35"/>
      <c r="M2" s="35"/>
    </row>
    <row r="3" ht="18" customHeight="1">
      <c r="A3" s="9"/>
      <c r="B3" t="s" s="86">
        <v>50</v>
      </c>
      <c r="C3" s="87"/>
      <c r="D3" s="88"/>
      <c r="E3" s="88"/>
      <c r="F3" s="88"/>
      <c r="G3" s="88"/>
      <c r="H3" s="35"/>
      <c r="I3" s="35"/>
      <c r="J3" s="35"/>
      <c r="K3" s="35"/>
      <c r="L3" s="35"/>
      <c r="M3" s="35"/>
    </row>
    <row r="4" ht="16.5" customHeight="1">
      <c r="A4" s="79"/>
      <c r="B4" s="89"/>
      <c r="C4" t="s" s="90">
        <v>51</v>
      </c>
      <c r="D4" t="s" s="90">
        <v>52</v>
      </c>
      <c r="E4" s="89"/>
      <c r="F4" t="s" s="90">
        <v>53</v>
      </c>
      <c r="G4" t="s" s="90">
        <v>53</v>
      </c>
      <c r="H4" s="35"/>
      <c r="I4" s="35"/>
      <c r="J4" s="35"/>
      <c r="K4" s="35"/>
      <c r="L4" s="35"/>
      <c r="M4" s="35"/>
    </row>
    <row r="5" ht="33" customHeight="1">
      <c r="A5" s="79"/>
      <c r="B5" t="s" s="90">
        <v>54</v>
      </c>
      <c r="C5" s="89"/>
      <c r="D5" t="s" s="90">
        <v>55</v>
      </c>
      <c r="E5" t="s" s="90">
        <v>8</v>
      </c>
      <c r="F5" t="s" s="90">
        <v>56</v>
      </c>
      <c r="G5" t="s" s="90">
        <v>57</v>
      </c>
      <c r="H5" t="s" s="91">
        <v>39</v>
      </c>
      <c r="I5" t="s" s="92">
        <v>40</v>
      </c>
      <c r="J5" t="s" s="91">
        <v>41</v>
      </c>
      <c r="K5" t="s" s="91">
        <v>42</v>
      </c>
      <c r="L5" t="s" s="91">
        <v>35</v>
      </c>
      <c r="M5" s="93"/>
    </row>
    <row r="6" ht="16.5" customHeight="1">
      <c r="A6" s="79"/>
      <c r="B6" t="s" s="94">
        <v>58</v>
      </c>
      <c r="C6" t="s" s="95">
        <v>8</v>
      </c>
      <c r="D6" s="89"/>
      <c r="E6" t="s" s="96">
        <v>59</v>
      </c>
      <c r="F6" s="97"/>
      <c r="G6" t="s" s="90">
        <v>8</v>
      </c>
      <c r="H6" s="34" cm="1">
        <f t="array" ref="H6">G27+F27</f>
        <v>185250.05</v>
      </c>
      <c r="I6" s="35"/>
      <c r="J6" s="35"/>
      <c r="K6" s="35"/>
      <c r="L6" s="35"/>
      <c r="M6" s="35"/>
    </row>
    <row r="7" ht="13.55" customHeight="1">
      <c r="A7" s="79"/>
      <c r="B7" t="s" s="19">
        <v>8</v>
      </c>
      <c r="C7" s="98">
        <v>1554</v>
      </c>
      <c r="D7" t="s" s="80">
        <v>60</v>
      </c>
      <c r="E7" t="s" s="80">
        <v>61</v>
      </c>
      <c r="F7" s="99">
        <v>500</v>
      </c>
      <c r="G7" s="34"/>
      <c r="H7" s="35"/>
      <c r="I7" s="34" cm="1">
        <f t="array" ref="I7">F7</f>
        <v>500</v>
      </c>
      <c r="J7" s="35"/>
      <c r="K7" s="35"/>
      <c r="L7" s="35"/>
      <c r="M7" s="35"/>
    </row>
    <row r="8" ht="13.55" customHeight="1">
      <c r="A8" s="79"/>
      <c r="B8" t="s" s="19">
        <v>8</v>
      </c>
      <c r="C8" s="98"/>
      <c r="D8" t="s" s="80">
        <v>60</v>
      </c>
      <c r="E8" t="s" s="80">
        <v>62</v>
      </c>
      <c r="F8" s="34">
        <v>500</v>
      </c>
      <c r="G8" s="34"/>
      <c r="H8" s="35"/>
      <c r="I8" s="35"/>
      <c r="J8" s="34" cm="1">
        <f t="array" ref="J8">F8</f>
        <v>500</v>
      </c>
      <c r="K8" s="35"/>
      <c r="L8" s="35"/>
      <c r="M8" s="35"/>
    </row>
    <row r="9" ht="13.55" customHeight="1">
      <c r="A9" s="79"/>
      <c r="B9" t="s" s="19">
        <v>8</v>
      </c>
      <c r="C9" s="100"/>
      <c r="D9" t="s" s="80">
        <v>60</v>
      </c>
      <c r="E9" t="s" s="80">
        <v>63</v>
      </c>
      <c r="F9" s="34">
        <v>500</v>
      </c>
      <c r="G9" s="34"/>
      <c r="H9" s="35"/>
      <c r="I9" s="34" cm="1">
        <f t="array" ref="I9">F9</f>
        <v>500</v>
      </c>
      <c r="J9" s="35"/>
      <c r="K9" s="35"/>
      <c r="L9" s="35"/>
      <c r="M9" s="35"/>
    </row>
    <row r="10" ht="13.55" customHeight="1">
      <c r="A10" s="79"/>
      <c r="B10" t="s" s="19">
        <v>8</v>
      </c>
      <c r="C10" s="98">
        <v>1557</v>
      </c>
      <c r="D10" t="s" s="80">
        <v>60</v>
      </c>
      <c r="E10" t="s" s="80">
        <v>64</v>
      </c>
      <c r="F10" s="99">
        <v>200</v>
      </c>
      <c r="G10" s="34"/>
      <c r="H10" s="35"/>
      <c r="I10" s="34" cm="1">
        <f t="array" ref="I10">F10</f>
        <v>200</v>
      </c>
      <c r="J10" s="35"/>
      <c r="K10" s="35"/>
      <c r="L10" s="35"/>
      <c r="M10" s="35"/>
    </row>
    <row r="11" ht="13.55" customHeight="1">
      <c r="A11" s="79"/>
      <c r="B11" t="s" s="19">
        <v>8</v>
      </c>
      <c r="C11" s="98"/>
      <c r="D11" t="s" s="80">
        <v>60</v>
      </c>
      <c r="E11" t="s" s="80">
        <v>65</v>
      </c>
      <c r="F11" s="34"/>
      <c r="G11" s="34">
        <v>500</v>
      </c>
      <c r="H11" s="35"/>
      <c r="I11" s="35"/>
      <c r="J11" s="35"/>
      <c r="K11" s="34" cm="1">
        <f t="array" ref="K11">G11</f>
        <v>500</v>
      </c>
      <c r="L11" s="35"/>
      <c r="M11" s="35"/>
    </row>
    <row r="12" ht="13.55" customHeight="1">
      <c r="A12" s="79"/>
      <c r="B12" t="s" s="19">
        <v>8</v>
      </c>
      <c r="C12" s="100"/>
      <c r="D12" t="s" s="80">
        <v>60</v>
      </c>
      <c r="E12" t="s" s="80">
        <v>66</v>
      </c>
      <c r="F12" s="34"/>
      <c r="G12" s="34">
        <v>500</v>
      </c>
      <c r="H12" s="35"/>
      <c r="I12" s="35"/>
      <c r="J12" s="35"/>
      <c r="K12" s="34" cm="1">
        <f t="array" ref="K12">G12</f>
        <v>500</v>
      </c>
      <c r="L12" s="35"/>
      <c r="M12" s="35"/>
    </row>
    <row r="13" ht="13.55" customHeight="1">
      <c r="A13" s="79"/>
      <c r="B13" t="s" s="19">
        <v>8</v>
      </c>
      <c r="C13" s="100"/>
      <c r="D13" t="s" s="80">
        <v>60</v>
      </c>
      <c r="E13" t="s" s="80">
        <v>67</v>
      </c>
      <c r="F13" s="34"/>
      <c r="G13" s="34">
        <v>5250</v>
      </c>
      <c r="H13" s="35"/>
      <c r="I13" s="35"/>
      <c r="J13" s="35"/>
      <c r="K13" s="34" cm="1">
        <f t="array" ref="K13">G13</f>
        <v>5250</v>
      </c>
      <c r="L13" s="35"/>
      <c r="M13" s="35"/>
    </row>
    <row r="14" ht="13.55" customHeight="1">
      <c r="A14" s="79"/>
      <c r="B14" t="s" s="19">
        <v>8</v>
      </c>
      <c r="C14" s="98">
        <v>1553</v>
      </c>
      <c r="D14" t="s" s="80">
        <v>60</v>
      </c>
      <c r="E14" t="s" s="80">
        <v>68</v>
      </c>
      <c r="F14" s="99">
        <v>500</v>
      </c>
      <c r="G14" s="34"/>
      <c r="H14" s="35"/>
      <c r="I14" s="34" cm="1">
        <f t="array" ref="I14">F14</f>
        <v>500</v>
      </c>
      <c r="J14" s="35"/>
      <c r="K14" s="35"/>
      <c r="L14" s="35"/>
      <c r="M14" s="35"/>
    </row>
    <row r="15" ht="13.55" customHeight="1">
      <c r="A15" s="79"/>
      <c r="B15" t="s" s="19">
        <v>8</v>
      </c>
      <c r="C15" s="100"/>
      <c r="D15" t="s" s="80">
        <v>60</v>
      </c>
      <c r="E15" t="s" s="80">
        <v>69</v>
      </c>
      <c r="F15" s="34">
        <v>107300</v>
      </c>
      <c r="G15" s="34"/>
      <c r="H15" s="35"/>
      <c r="I15" s="35"/>
      <c r="J15" s="34" cm="1">
        <f t="array" ref="J15">F15</f>
        <v>107300</v>
      </c>
      <c r="K15" s="35"/>
      <c r="L15" s="35"/>
      <c r="M15" s="35"/>
    </row>
    <row r="16" ht="13.55" customHeight="1">
      <c r="A16" s="79"/>
      <c r="B16" t="s" s="19">
        <v>8</v>
      </c>
      <c r="C16" s="100"/>
      <c r="D16" t="s" s="80">
        <v>60</v>
      </c>
      <c r="E16" t="s" s="80">
        <v>69</v>
      </c>
      <c r="F16" s="34">
        <v>28450</v>
      </c>
      <c r="G16" s="34"/>
      <c r="H16" s="35"/>
      <c r="I16" s="35"/>
      <c r="J16" s="34" cm="1">
        <f t="array" ref="J16">F16</f>
        <v>28450</v>
      </c>
      <c r="K16" s="35"/>
      <c r="L16" s="35"/>
      <c r="M16" s="35"/>
    </row>
    <row r="17" ht="13.55" customHeight="1">
      <c r="A17" s="79"/>
      <c r="B17" t="s" s="19">
        <v>8</v>
      </c>
      <c r="C17" s="98"/>
      <c r="D17" t="s" s="80">
        <v>60</v>
      </c>
      <c r="E17" t="s" s="80">
        <v>69</v>
      </c>
      <c r="F17" s="34">
        <v>28250</v>
      </c>
      <c r="G17" s="34"/>
      <c r="H17" s="35"/>
      <c r="I17" s="35"/>
      <c r="J17" s="34" cm="1">
        <f t="array" ref="J17">F17</f>
        <v>28250</v>
      </c>
      <c r="K17" s="35"/>
      <c r="L17" s="35"/>
      <c r="M17" s="35"/>
    </row>
    <row r="18" ht="13.55" customHeight="1">
      <c r="A18" s="79"/>
      <c r="B18" t="s" s="19">
        <v>8</v>
      </c>
      <c r="C18" s="98"/>
      <c r="D18" t="s" s="80">
        <v>60</v>
      </c>
      <c r="E18" t="s" s="80">
        <v>70</v>
      </c>
      <c r="F18" s="34">
        <v>0.05</v>
      </c>
      <c r="G18" s="34"/>
      <c r="H18" s="35"/>
      <c r="I18" s="35"/>
      <c r="J18" s="35"/>
      <c r="K18" s="35"/>
      <c r="L18" s="34" cm="1">
        <f t="array" ref="L18">F18</f>
        <v>0.05</v>
      </c>
      <c r="M18" s="35"/>
    </row>
    <row r="19" ht="13.55" customHeight="1">
      <c r="A19" s="79"/>
      <c r="B19" t="s" s="19">
        <v>8</v>
      </c>
      <c r="C19" s="98">
        <v>1552</v>
      </c>
      <c r="D19" t="s" s="80">
        <v>60</v>
      </c>
      <c r="E19" t="s" s="80">
        <v>71</v>
      </c>
      <c r="F19" s="99">
        <v>500</v>
      </c>
      <c r="G19" s="34"/>
      <c r="H19" s="35"/>
      <c r="I19" s="34" cm="1">
        <f t="array" ref="I19">F19</f>
        <v>500</v>
      </c>
      <c r="J19" s="35"/>
      <c r="K19" s="35"/>
      <c r="L19" s="35"/>
      <c r="M19" s="35"/>
    </row>
    <row r="20" ht="13.55" customHeight="1">
      <c r="A20" s="79"/>
      <c r="B20" t="s" s="19">
        <v>8</v>
      </c>
      <c r="C20" s="98">
        <v>1551</v>
      </c>
      <c r="D20" t="s" s="80">
        <v>60</v>
      </c>
      <c r="E20" t="s" s="80">
        <v>72</v>
      </c>
      <c r="F20" s="99">
        <v>1000</v>
      </c>
      <c r="G20" s="34"/>
      <c r="H20" s="35"/>
      <c r="I20" s="34" cm="1">
        <f t="array" ref="I20">F20</f>
        <v>1000</v>
      </c>
      <c r="J20" s="35"/>
      <c r="K20" s="35"/>
      <c r="L20" s="35"/>
      <c r="M20" s="35"/>
    </row>
    <row r="21" ht="13.55" customHeight="1">
      <c r="A21" s="79"/>
      <c r="B21" s="98"/>
      <c r="C21" s="98"/>
      <c r="D21" t="s" s="80">
        <v>60</v>
      </c>
      <c r="E21" t="s" s="80">
        <v>69</v>
      </c>
      <c r="F21" s="34">
        <v>600</v>
      </c>
      <c r="G21" s="34"/>
      <c r="H21" s="35"/>
      <c r="I21" s="35"/>
      <c r="J21" s="34" cm="1">
        <f t="array" ref="J21">F21</f>
        <v>600</v>
      </c>
      <c r="K21" s="35"/>
      <c r="L21" s="35"/>
      <c r="M21" s="35"/>
    </row>
    <row r="22" ht="13.55" customHeight="1">
      <c r="A22" s="79"/>
      <c r="B22" s="98"/>
      <c r="C22" s="98"/>
      <c r="D22" t="s" s="80">
        <v>60</v>
      </c>
      <c r="E22" t="s" s="80">
        <v>73</v>
      </c>
      <c r="F22" t="s" s="80">
        <v>8</v>
      </c>
      <c r="G22" s="34">
        <v>1000</v>
      </c>
      <c r="H22" s="35"/>
      <c r="I22" s="35"/>
      <c r="J22" s="34" cm="1">
        <f t="array" ref="J22">G22</f>
        <v>1000</v>
      </c>
      <c r="K22" s="35"/>
      <c r="L22" s="35"/>
      <c r="M22" s="35"/>
    </row>
    <row r="23" ht="13.55" customHeight="1">
      <c r="A23" s="79"/>
      <c r="B23" t="s" s="19">
        <v>8</v>
      </c>
      <c r="C23" t="s" s="19">
        <v>8</v>
      </c>
      <c r="D23" t="s" s="80">
        <v>60</v>
      </c>
      <c r="E23" t="s" s="80">
        <v>74</v>
      </c>
      <c r="F23" s="99">
        <v>500</v>
      </c>
      <c r="G23" t="s" s="80">
        <v>8</v>
      </c>
      <c r="H23" s="35"/>
      <c r="I23" s="34" cm="1">
        <f t="array" ref="I23">F23</f>
        <v>500</v>
      </c>
      <c r="J23" s="35"/>
      <c r="K23" s="35"/>
      <c r="L23" s="35"/>
      <c r="M23" s="35"/>
    </row>
    <row r="24" ht="13.55" customHeight="1">
      <c r="A24" s="79"/>
      <c r="B24" s="98"/>
      <c r="C24" s="98"/>
      <c r="D24" t="s" s="80">
        <v>60</v>
      </c>
      <c r="E24" t="s" s="80">
        <v>75</v>
      </c>
      <c r="F24" s="34"/>
      <c r="G24" s="34">
        <v>3000</v>
      </c>
      <c r="H24" s="35"/>
      <c r="I24" s="35"/>
      <c r="J24" s="35"/>
      <c r="K24" s="34" cm="1">
        <f t="array" ref="K24">G24</f>
        <v>3000</v>
      </c>
      <c r="L24" s="35"/>
      <c r="M24" s="35"/>
    </row>
    <row r="25" ht="13.55" customHeight="1">
      <c r="A25" s="79"/>
      <c r="B25" s="98"/>
      <c r="C25" s="98"/>
      <c r="D25" t="s" s="80">
        <v>60</v>
      </c>
      <c r="E25" t="s" s="80">
        <v>64</v>
      </c>
      <c r="F25" s="34">
        <v>200</v>
      </c>
      <c r="G25" s="34"/>
      <c r="H25" s="35"/>
      <c r="I25" s="34" cm="1">
        <f t="array" ref="I25">F25</f>
        <v>200</v>
      </c>
      <c r="J25" s="35"/>
      <c r="K25" s="35"/>
      <c r="L25" s="35"/>
      <c r="M25" s="35"/>
    </row>
    <row r="26" ht="13.55" customHeight="1">
      <c r="A26" s="79"/>
      <c r="B26" s="101"/>
      <c r="C26" s="101"/>
      <c r="D26" t="s" s="80">
        <v>60</v>
      </c>
      <c r="E26" t="s" s="80">
        <v>76</v>
      </c>
      <c r="F26" s="34">
        <v>6000</v>
      </c>
      <c r="G26" s="34"/>
      <c r="H26" s="35"/>
      <c r="I26" s="34" cm="1">
        <f t="array" ref="I26">F26</f>
        <v>6000</v>
      </c>
      <c r="J26" s="35"/>
      <c r="K26" s="35"/>
      <c r="L26" s="35"/>
      <c r="M26" s="35"/>
    </row>
    <row r="27" ht="15.75" customHeight="1">
      <c r="A27" s="7"/>
      <c r="B27" s="102"/>
      <c r="C27" s="102"/>
      <c r="D27" s="102"/>
      <c r="E27" s="102"/>
      <c r="F27" s="103" cm="1">
        <f t="array" ref="F27">SUM(F7:F26)</f>
        <v>175000.05</v>
      </c>
      <c r="G27" s="104" cm="1">
        <f t="array" ref="G27">SUM(G7:G26)</f>
        <v>10250</v>
      </c>
      <c r="H27" t="s" s="105">
        <v>8</v>
      </c>
      <c r="I27" s="99" cm="1">
        <f t="array" ref="I27">SUM(I7:I26)</f>
        <v>9900</v>
      </c>
      <c r="J27" s="99" cm="1">
        <f t="array" ref="J27">SUM(J7:J26)</f>
        <v>166100</v>
      </c>
      <c r="K27" s="99" cm="1">
        <f t="array" ref="K27">SUM(K7:K26)</f>
        <v>9250</v>
      </c>
      <c r="L27" s="99" cm="1">
        <f t="array" ref="L27">SUM(L7:L26)</f>
        <v>0.05</v>
      </c>
      <c r="M27" s="106"/>
    </row>
    <row r="28" ht="18" customHeight="1">
      <c r="A28" s="9"/>
      <c r="B28" t="s" s="107">
        <v>77</v>
      </c>
      <c r="C28" s="108"/>
      <c r="D28" s="85"/>
      <c r="E28" s="84"/>
      <c r="F28" s="84"/>
      <c r="G28" s="84"/>
      <c r="H28" s="35"/>
      <c r="I28" s="35"/>
      <c r="J28" s="35"/>
      <c r="K28" s="35"/>
      <c r="L28" s="35"/>
      <c r="M28" s="35"/>
    </row>
    <row r="29" ht="18" customHeight="1">
      <c r="A29" s="9"/>
      <c r="B29" t="s" s="86">
        <v>8</v>
      </c>
      <c r="C29" t="s" s="109">
        <v>8</v>
      </c>
      <c r="D29" s="88"/>
      <c r="E29" s="88"/>
      <c r="F29" s="88"/>
      <c r="G29" s="88"/>
      <c r="H29" s="35"/>
      <c r="I29" s="35"/>
      <c r="J29" s="35"/>
      <c r="K29" s="35"/>
      <c r="L29" s="35"/>
      <c r="M29" s="35"/>
    </row>
    <row r="30" ht="16.5" customHeight="1">
      <c r="A30" s="9"/>
      <c r="B30" s="110"/>
      <c r="C30" s="89"/>
      <c r="D30" t="s" s="90">
        <v>78</v>
      </c>
      <c r="E30" t="s" s="90">
        <v>52</v>
      </c>
      <c r="F30" s="89"/>
      <c r="G30" s="89"/>
      <c r="H30" s="35"/>
      <c r="I30" s="35"/>
      <c r="J30" s="35"/>
      <c r="K30" s="35"/>
      <c r="L30" s="35"/>
      <c r="M30" s="35"/>
    </row>
    <row r="31" ht="33" customHeight="1">
      <c r="A31" s="9"/>
      <c r="B31" t="s" s="111">
        <v>79</v>
      </c>
      <c r="C31" t="s" s="90">
        <v>54</v>
      </c>
      <c r="D31" s="89"/>
      <c r="E31" t="s" s="90">
        <v>55</v>
      </c>
      <c r="F31" t="s" s="90">
        <v>8</v>
      </c>
      <c r="G31" t="s" s="90">
        <v>8</v>
      </c>
      <c r="H31" s="35"/>
      <c r="I31" s="35"/>
      <c r="J31" s="35"/>
      <c r="K31" s="35"/>
      <c r="L31" s="35"/>
      <c r="M31" s="35"/>
    </row>
    <row r="32" ht="16.5" customHeight="1">
      <c r="A32" s="9"/>
      <c r="B32" t="s" s="111">
        <v>8</v>
      </c>
      <c r="C32" t="s" s="94">
        <v>58</v>
      </c>
      <c r="D32" t="s" s="95">
        <v>8</v>
      </c>
      <c r="E32" s="89"/>
      <c r="F32" t="s" s="96">
        <v>59</v>
      </c>
      <c r="G32" t="s" s="96">
        <v>57</v>
      </c>
      <c r="H32" s="34" cm="1">
        <f t="array" ref="H32">F48+G48</f>
        <v>172416.71</v>
      </c>
      <c r="I32" s="35"/>
      <c r="J32" s="35"/>
      <c r="K32" s="35"/>
      <c r="L32" s="35"/>
      <c r="M32" s="35"/>
    </row>
    <row r="33" ht="13.55" customHeight="1">
      <c r="A33" s="9"/>
      <c r="B33" s="112">
        <v>45692</v>
      </c>
      <c r="C33" t="s" s="80">
        <v>8</v>
      </c>
      <c r="D33" t="s" s="80">
        <v>60</v>
      </c>
      <c r="E33" t="s" s="80">
        <v>80</v>
      </c>
      <c r="F33" s="99">
        <v>500</v>
      </c>
      <c r="G33" t="s" s="80">
        <v>8</v>
      </c>
      <c r="H33" s="35"/>
      <c r="I33" s="34" cm="1">
        <f t="array" ref="I33">F33</f>
        <v>500</v>
      </c>
      <c r="J33" s="35"/>
      <c r="K33" s="35"/>
      <c r="L33" s="35"/>
      <c r="M33" s="35"/>
    </row>
    <row r="34" ht="13.55" customHeight="1">
      <c r="A34" s="9"/>
      <c r="B34" s="112">
        <v>45693</v>
      </c>
      <c r="C34" t="s" s="80">
        <v>8</v>
      </c>
      <c r="D34" t="s" s="80">
        <v>60</v>
      </c>
      <c r="E34" t="s" s="80">
        <v>73</v>
      </c>
      <c r="F34" s="34">
        <v>500</v>
      </c>
      <c r="G34" t="s" s="80">
        <v>8</v>
      </c>
      <c r="H34" s="35"/>
      <c r="I34" s="34" cm="1">
        <f t="array" ref="I34">F34</f>
        <v>500</v>
      </c>
      <c r="J34" s="35"/>
      <c r="K34" s="35"/>
      <c r="L34" s="35"/>
      <c r="M34" s="35"/>
    </row>
    <row r="35" ht="13.55" customHeight="1">
      <c r="A35" s="9"/>
      <c r="B35" s="112">
        <v>45698</v>
      </c>
      <c r="C35" t="s" s="80">
        <v>8</v>
      </c>
      <c r="D35" t="s" s="80">
        <v>60</v>
      </c>
      <c r="E35" t="s" s="80">
        <v>81</v>
      </c>
      <c r="F35" s="34">
        <v>1616.71</v>
      </c>
      <c r="G35" t="s" s="80">
        <v>8</v>
      </c>
      <c r="H35" s="35"/>
      <c r="I35" s="35"/>
      <c r="J35" s="35"/>
      <c r="K35" s="35"/>
      <c r="L35" s="34" cm="1">
        <f t="array" ref="L35">F35</f>
        <v>1616.71</v>
      </c>
      <c r="M35" s="35"/>
    </row>
    <row r="36" ht="13.55" customHeight="1">
      <c r="A36" s="9"/>
      <c r="B36" s="112">
        <v>45699</v>
      </c>
      <c r="C36" t="s" s="80">
        <v>8</v>
      </c>
      <c r="D36" t="s" s="80">
        <v>60</v>
      </c>
      <c r="E36" t="s" s="80">
        <v>82</v>
      </c>
      <c r="F36" s="99">
        <v>500</v>
      </c>
      <c r="G36" t="s" s="80">
        <v>8</v>
      </c>
      <c r="H36" s="35"/>
      <c r="I36" s="34" cm="1">
        <f t="array" ref="I36">F36</f>
        <v>500</v>
      </c>
      <c r="J36" s="35"/>
      <c r="K36" s="35"/>
      <c r="L36" s="35"/>
      <c r="M36" s="35"/>
    </row>
    <row r="37" ht="13.55" customHeight="1">
      <c r="A37" s="9"/>
      <c r="B37" s="112">
        <v>45700</v>
      </c>
      <c r="C37" t="s" s="80">
        <v>8</v>
      </c>
      <c r="D37" t="s" s="80">
        <v>60</v>
      </c>
      <c r="E37" t="s" s="80">
        <v>74</v>
      </c>
      <c r="F37" s="34">
        <v>500</v>
      </c>
      <c r="G37" t="s" s="80">
        <v>8</v>
      </c>
      <c r="H37" s="35"/>
      <c r="I37" s="34" cm="1">
        <f t="array" ref="I37">F37</f>
        <v>500</v>
      </c>
      <c r="J37" s="35"/>
      <c r="K37" s="35"/>
      <c r="L37" s="35"/>
      <c r="M37" s="35"/>
    </row>
    <row r="38" ht="13.55" customHeight="1">
      <c r="A38" s="9"/>
      <c r="B38" s="112">
        <v>45705</v>
      </c>
      <c r="C38" t="s" s="80">
        <v>8</v>
      </c>
      <c r="D38" t="s" s="80">
        <v>60</v>
      </c>
      <c r="E38" t="s" s="80">
        <v>83</v>
      </c>
      <c r="F38" s="34">
        <v>24250</v>
      </c>
      <c r="G38" t="s" s="80">
        <v>8</v>
      </c>
      <c r="H38" s="35"/>
      <c r="I38" s="35"/>
      <c r="J38" s="34" cm="1">
        <f t="array" ref="J38">F38</f>
        <v>24250</v>
      </c>
      <c r="K38" s="35"/>
      <c r="L38" s="35"/>
      <c r="M38" s="35"/>
    </row>
    <row r="39" ht="13.55" customHeight="1">
      <c r="A39" s="9"/>
      <c r="B39" s="112">
        <v>45705</v>
      </c>
      <c r="C39" t="s" s="80">
        <v>8</v>
      </c>
      <c r="D39" t="s" s="80">
        <v>60</v>
      </c>
      <c r="E39" t="s" s="80">
        <v>83</v>
      </c>
      <c r="F39" s="34">
        <v>107150</v>
      </c>
      <c r="G39" t="s" s="80">
        <v>8</v>
      </c>
      <c r="H39" s="35"/>
      <c r="I39" s="35"/>
      <c r="J39" s="34" cm="1">
        <f t="array" ref="J39">F39</f>
        <v>107150</v>
      </c>
      <c r="K39" s="35"/>
      <c r="L39" s="35"/>
      <c r="M39" s="35"/>
    </row>
    <row r="40" ht="13.55" customHeight="1">
      <c r="A40" s="9"/>
      <c r="B40" s="112">
        <v>45705</v>
      </c>
      <c r="C40" t="s" s="80">
        <v>8</v>
      </c>
      <c r="D40" t="s" s="80">
        <v>60</v>
      </c>
      <c r="E40" t="s" s="80">
        <v>83</v>
      </c>
      <c r="F40" s="99">
        <v>28350</v>
      </c>
      <c r="G40" t="s" s="80">
        <v>8</v>
      </c>
      <c r="H40" s="35"/>
      <c r="I40" s="35"/>
      <c r="J40" s="34" cm="1">
        <f t="array" ref="J40">F40</f>
        <v>28350</v>
      </c>
      <c r="K40" s="35"/>
      <c r="L40" s="35"/>
      <c r="M40" s="35"/>
    </row>
    <row r="41" ht="13.55" customHeight="1">
      <c r="A41" s="9"/>
      <c r="B41" s="112">
        <v>45705</v>
      </c>
      <c r="C41" t="s" s="80">
        <v>8</v>
      </c>
      <c r="D41" t="s" s="80">
        <v>60</v>
      </c>
      <c r="E41" t="s" s="80">
        <v>84</v>
      </c>
      <c r="F41" t="s" s="80">
        <v>8</v>
      </c>
      <c r="G41" s="34">
        <v>500</v>
      </c>
      <c r="H41" s="35"/>
      <c r="I41" s="35"/>
      <c r="J41" s="35"/>
      <c r="K41" s="34" cm="1">
        <f t="array" ref="K41">G41</f>
        <v>500</v>
      </c>
      <c r="L41" s="35"/>
      <c r="M41" s="35"/>
    </row>
    <row r="42" ht="13.55" customHeight="1">
      <c r="A42" s="9"/>
      <c r="B42" s="112">
        <v>45705</v>
      </c>
      <c r="C42" t="s" s="80">
        <v>8</v>
      </c>
      <c r="D42" t="s" s="80">
        <v>60</v>
      </c>
      <c r="E42" t="s" s="80">
        <v>85</v>
      </c>
      <c r="F42" s="34">
        <v>500</v>
      </c>
      <c r="G42" t="s" s="80">
        <v>8</v>
      </c>
      <c r="H42" s="35"/>
      <c r="I42" s="34" cm="1">
        <f t="array" ref="I42">F42</f>
        <v>500</v>
      </c>
      <c r="J42" s="35"/>
      <c r="K42" s="35"/>
      <c r="L42" s="35"/>
      <c r="M42" s="35"/>
    </row>
    <row r="43" ht="13.55" customHeight="1">
      <c r="A43" s="9"/>
      <c r="B43" s="112">
        <v>45705</v>
      </c>
      <c r="C43" t="s" s="80">
        <v>8</v>
      </c>
      <c r="D43" t="s" s="80">
        <v>60</v>
      </c>
      <c r="E43" t="s" s="80">
        <v>83</v>
      </c>
      <c r="F43" s="34">
        <v>500</v>
      </c>
      <c r="G43" t="s" s="80">
        <v>8</v>
      </c>
      <c r="H43" s="35"/>
      <c r="I43" s="34">
        <v>500</v>
      </c>
      <c r="J43" t="s" s="80">
        <v>8</v>
      </c>
      <c r="K43" s="35"/>
      <c r="L43" s="35"/>
      <c r="M43" s="35"/>
    </row>
    <row r="44" ht="13.55" customHeight="1">
      <c r="A44" s="9"/>
      <c r="B44" s="112">
        <v>45707</v>
      </c>
      <c r="C44" t="s" s="80">
        <v>8</v>
      </c>
      <c r="D44" t="s" s="80">
        <v>60</v>
      </c>
      <c r="E44" t="s" s="80">
        <v>83</v>
      </c>
      <c r="F44" s="34">
        <v>1000</v>
      </c>
      <c r="G44" t="s" s="80">
        <v>8</v>
      </c>
      <c r="H44" s="35"/>
      <c r="I44" s="34">
        <v>1000</v>
      </c>
      <c r="J44" t="s" s="80">
        <v>8</v>
      </c>
      <c r="K44" s="35"/>
      <c r="L44" s="35"/>
      <c r="M44" s="35"/>
    </row>
    <row r="45" ht="13.55" customHeight="1">
      <c r="A45" s="9"/>
      <c r="B45" s="112">
        <v>45707</v>
      </c>
      <c r="C45" t="s" s="80">
        <v>8</v>
      </c>
      <c r="D45" t="s" s="80">
        <v>60</v>
      </c>
      <c r="E45" t="s" s="80">
        <v>83</v>
      </c>
      <c r="F45" s="99">
        <v>1750</v>
      </c>
      <c r="G45" t="s" s="80">
        <v>8</v>
      </c>
      <c r="H45" s="35"/>
      <c r="I45" s="34">
        <v>1750</v>
      </c>
      <c r="J45" t="s" s="80">
        <v>8</v>
      </c>
      <c r="K45" s="35"/>
      <c r="L45" s="35"/>
      <c r="M45" s="35"/>
    </row>
    <row r="46" ht="13.55" customHeight="1">
      <c r="A46" s="9"/>
      <c r="B46" s="112">
        <v>45707</v>
      </c>
      <c r="C46" t="s" s="80">
        <v>8</v>
      </c>
      <c r="D46" t="s" s="80">
        <v>60</v>
      </c>
      <c r="E46" t="s" s="80">
        <v>83</v>
      </c>
      <c r="F46" s="99">
        <v>1300</v>
      </c>
      <c r="G46" t="s" s="80">
        <v>8</v>
      </c>
      <c r="H46" s="35"/>
      <c r="I46" s="34">
        <v>1300</v>
      </c>
      <c r="J46" t="s" s="80">
        <v>8</v>
      </c>
      <c r="K46" s="35"/>
      <c r="L46" s="35"/>
      <c r="M46" s="35"/>
    </row>
    <row r="47" ht="13.55" customHeight="1">
      <c r="A47" s="9"/>
      <c r="B47" s="112">
        <v>45707</v>
      </c>
      <c r="C47" t="s" s="80">
        <v>8</v>
      </c>
      <c r="D47" t="s" s="80">
        <v>60</v>
      </c>
      <c r="E47" t="s" s="80">
        <v>83</v>
      </c>
      <c r="F47" s="34">
        <v>3500</v>
      </c>
      <c r="G47" t="s" s="80">
        <v>8</v>
      </c>
      <c r="H47" s="35"/>
      <c r="I47" s="34">
        <v>3500</v>
      </c>
      <c r="J47" t="s" s="80">
        <v>8</v>
      </c>
      <c r="K47" s="35"/>
      <c r="L47" s="35"/>
      <c r="M47" s="35"/>
    </row>
    <row r="48" ht="15.75" customHeight="1">
      <c r="A48" s="7"/>
      <c r="B48" s="102"/>
      <c r="C48" s="102"/>
      <c r="D48" s="102"/>
      <c r="E48" s="102"/>
      <c r="F48" s="103" cm="1">
        <f t="array" ref="F48">SUM(F33:F47)</f>
        <v>171916.71</v>
      </c>
      <c r="G48" s="104" cm="1">
        <f t="array" ref="G48">SUM(G33:G47)</f>
        <v>500</v>
      </c>
      <c r="H48" t="s" s="105">
        <v>8</v>
      </c>
      <c r="I48" s="99" cm="1">
        <f t="array" ref="I48">SUM(I33:I47)</f>
        <v>10550</v>
      </c>
      <c r="J48" s="99" cm="1">
        <f t="array" ref="J48">SUM(J33:J47)</f>
        <v>159750</v>
      </c>
      <c r="K48" s="99" cm="1">
        <f t="array" ref="K48">SUM(K33:K47)</f>
        <v>500</v>
      </c>
      <c r="L48" s="99" cm="1">
        <f t="array" ref="L48">SUM(L33:L47)</f>
        <v>1616.71</v>
      </c>
      <c r="M48" s="106"/>
    </row>
    <row r="49" ht="18" customHeight="1">
      <c r="A49" s="9"/>
      <c r="B49" t="s" s="107">
        <v>77</v>
      </c>
      <c r="C49" s="108"/>
      <c r="D49" s="85"/>
      <c r="E49" s="84"/>
      <c r="F49" s="84"/>
      <c r="G49" s="84"/>
      <c r="H49" s="35"/>
      <c r="I49" s="35"/>
      <c r="J49" s="35"/>
      <c r="K49" s="35"/>
      <c r="L49" s="35"/>
      <c r="M49" s="35"/>
    </row>
    <row r="50" ht="18" customHeight="1">
      <c r="A50" s="9"/>
      <c r="B50" t="s" s="86">
        <v>86</v>
      </c>
      <c r="C50" s="87"/>
      <c r="D50" s="88"/>
      <c r="E50" s="88"/>
      <c r="F50" s="88"/>
      <c r="G50" s="88"/>
      <c r="H50" s="35"/>
      <c r="I50" s="35"/>
      <c r="J50" s="35"/>
      <c r="K50" s="35"/>
      <c r="L50" s="35"/>
      <c r="M50" s="35"/>
    </row>
    <row r="51" ht="16.5" customHeight="1">
      <c r="A51" s="9"/>
      <c r="B51" s="110"/>
      <c r="C51" s="89"/>
      <c r="D51" t="s" s="90">
        <v>78</v>
      </c>
      <c r="E51" t="s" s="90">
        <v>52</v>
      </c>
      <c r="F51" s="89"/>
      <c r="G51" s="89"/>
      <c r="H51" s="35"/>
      <c r="I51" s="35"/>
      <c r="J51" s="35"/>
      <c r="K51" s="35"/>
      <c r="L51" s="35"/>
      <c r="M51" s="35"/>
    </row>
    <row r="52" ht="33" customHeight="1">
      <c r="A52" s="9"/>
      <c r="B52" t="s" s="111">
        <v>79</v>
      </c>
      <c r="C52" t="s" s="90">
        <v>54</v>
      </c>
      <c r="D52" s="89"/>
      <c r="E52" t="s" s="90">
        <v>55</v>
      </c>
      <c r="F52" t="s" s="90">
        <v>8</v>
      </c>
      <c r="G52" t="s" s="90">
        <v>8</v>
      </c>
      <c r="H52" s="35"/>
      <c r="I52" s="35"/>
      <c r="J52" s="35"/>
      <c r="K52" s="35"/>
      <c r="L52" s="35"/>
      <c r="M52" s="35"/>
    </row>
    <row r="53" ht="16.5" customHeight="1">
      <c r="A53" s="9"/>
      <c r="B53" t="s" s="111">
        <v>8</v>
      </c>
      <c r="C53" t="s" s="94">
        <v>58</v>
      </c>
      <c r="D53" t="s" s="95">
        <v>8</v>
      </c>
      <c r="E53" s="89"/>
      <c r="F53" t="s" s="96">
        <v>59</v>
      </c>
      <c r="G53" t="s" s="96">
        <v>57</v>
      </c>
      <c r="H53" s="34" cm="1">
        <f t="array" ref="H53">F80+G80</f>
        <v>181300</v>
      </c>
      <c r="I53" s="35"/>
      <c r="J53" s="35"/>
      <c r="K53" s="35"/>
      <c r="L53" s="35"/>
      <c r="M53" s="35"/>
    </row>
    <row r="54" ht="13.55" customHeight="1">
      <c r="A54" s="9"/>
      <c r="B54" s="112">
        <v>45720</v>
      </c>
      <c r="C54" t="s" s="19">
        <v>87</v>
      </c>
      <c r="D54" t="s" s="80">
        <v>60</v>
      </c>
      <c r="E54" t="s" s="80">
        <v>88</v>
      </c>
      <c r="F54" s="34">
        <v>200</v>
      </c>
      <c r="G54" s="34"/>
      <c r="H54" s="35"/>
      <c r="I54" s="34" cm="1">
        <f t="array" ref="I54">F54</f>
        <v>200</v>
      </c>
      <c r="J54" t="s" s="80">
        <v>8</v>
      </c>
      <c r="K54" s="35"/>
      <c r="L54" s="35"/>
      <c r="M54" s="35"/>
    </row>
    <row r="55" ht="13.55" customHeight="1">
      <c r="A55" s="9"/>
      <c r="B55" s="112">
        <v>45720</v>
      </c>
      <c r="C55" s="98"/>
      <c r="D55" t="s" s="80">
        <v>60</v>
      </c>
      <c r="E55" t="s" s="80">
        <v>89</v>
      </c>
      <c r="F55" t="s" s="80">
        <v>8</v>
      </c>
      <c r="G55" s="34">
        <v>1500</v>
      </c>
      <c r="H55" s="35"/>
      <c r="I55" s="35"/>
      <c r="J55" t="s" s="80">
        <v>8</v>
      </c>
      <c r="K55" s="34" cm="1">
        <f t="array" ref="K55">G55</f>
        <v>1500</v>
      </c>
      <c r="L55" s="35"/>
      <c r="M55" s="35"/>
    </row>
    <row r="56" ht="13.55" customHeight="1">
      <c r="A56" s="9"/>
      <c r="B56" s="112">
        <v>45721</v>
      </c>
      <c r="C56" s="100"/>
      <c r="D56" t="s" s="80">
        <v>60</v>
      </c>
      <c r="E56" t="s" s="80">
        <v>90</v>
      </c>
      <c r="F56" t="s" s="80">
        <v>8</v>
      </c>
      <c r="G56" s="34">
        <v>500</v>
      </c>
      <c r="H56" s="35"/>
      <c r="I56" s="35"/>
      <c r="J56" t="s" s="80">
        <v>8</v>
      </c>
      <c r="K56" s="34" cm="1">
        <f t="array" ref="K56">G56</f>
        <v>500</v>
      </c>
      <c r="L56" s="35"/>
      <c r="M56" s="35"/>
    </row>
    <row r="57" ht="13.55" customHeight="1">
      <c r="A57" s="9"/>
      <c r="B57" s="112">
        <v>45726</v>
      </c>
      <c r="C57" s="98">
        <v>1704</v>
      </c>
      <c r="D57" t="s" s="80">
        <v>60</v>
      </c>
      <c r="E57" t="s" s="80">
        <v>91</v>
      </c>
      <c r="F57" s="34">
        <v>3000</v>
      </c>
      <c r="G57" s="34"/>
      <c r="H57" s="35"/>
      <c r="I57" s="34" cm="1">
        <f t="array" ref="I57">F57</f>
        <v>3000</v>
      </c>
      <c r="J57" t="s" s="80">
        <v>8</v>
      </c>
      <c r="K57" s="35"/>
      <c r="L57" s="35"/>
      <c r="M57" s="35"/>
    </row>
    <row r="58" ht="13.55" customHeight="1">
      <c r="A58" s="9"/>
      <c r="B58" s="112">
        <v>45726</v>
      </c>
      <c r="C58" s="98">
        <v>1705</v>
      </c>
      <c r="D58" t="s" s="80">
        <v>60</v>
      </c>
      <c r="E58" t="s" s="80">
        <v>92</v>
      </c>
      <c r="F58" s="34">
        <v>3000</v>
      </c>
      <c r="G58" s="34"/>
      <c r="H58" s="35"/>
      <c r="I58" s="34" cm="1">
        <f t="array" ref="I58">F58</f>
        <v>3000</v>
      </c>
      <c r="J58" t="s" s="80">
        <v>8</v>
      </c>
      <c r="K58" s="35"/>
      <c r="L58" s="35"/>
      <c r="M58" s="35"/>
    </row>
    <row r="59" ht="13.55" customHeight="1">
      <c r="A59" s="9"/>
      <c r="B59" s="112">
        <v>45727</v>
      </c>
      <c r="C59" s="98">
        <v>1706</v>
      </c>
      <c r="D59" t="s" s="80">
        <v>60</v>
      </c>
      <c r="E59" t="s" s="80">
        <v>93</v>
      </c>
      <c r="F59" s="34">
        <v>500</v>
      </c>
      <c r="G59" s="34"/>
      <c r="H59" s="35"/>
      <c r="I59" s="34" cm="1">
        <f t="array" ref="I59">F59</f>
        <v>500</v>
      </c>
      <c r="J59" s="35"/>
      <c r="K59" s="35"/>
      <c r="L59" s="35"/>
      <c r="M59" s="35"/>
    </row>
    <row r="60" ht="13.55" customHeight="1">
      <c r="A60" s="9"/>
      <c r="B60" s="112">
        <v>45727</v>
      </c>
      <c r="C60" s="100"/>
      <c r="D60" t="s" s="80">
        <v>60</v>
      </c>
      <c r="E60" t="s" s="80">
        <v>94</v>
      </c>
      <c r="F60" t="s" s="80">
        <v>8</v>
      </c>
      <c r="G60" s="34">
        <v>500</v>
      </c>
      <c r="H60" s="35"/>
      <c r="I60" s="35"/>
      <c r="J60" s="35"/>
      <c r="K60" s="34" cm="1">
        <f t="array" ref="K60">G60</f>
        <v>500</v>
      </c>
      <c r="L60" s="35"/>
      <c r="M60" s="35"/>
    </row>
    <row r="61" ht="13.55" customHeight="1">
      <c r="A61" s="9"/>
      <c r="B61" s="112">
        <v>45727</v>
      </c>
      <c r="C61" s="98"/>
      <c r="D61" t="s" s="80">
        <v>60</v>
      </c>
      <c r="E61" t="s" s="80">
        <v>95</v>
      </c>
      <c r="F61" t="s" s="80">
        <v>8</v>
      </c>
      <c r="G61" s="34">
        <v>1000</v>
      </c>
      <c r="H61" s="35"/>
      <c r="I61" s="35"/>
      <c r="J61" s="35"/>
      <c r="K61" s="34" cm="1">
        <f t="array" ref="K61">G61</f>
        <v>1000</v>
      </c>
      <c r="L61" s="35"/>
      <c r="M61" s="35"/>
    </row>
    <row r="62" ht="13.55" customHeight="1">
      <c r="A62" s="9"/>
      <c r="B62" s="112">
        <v>45727</v>
      </c>
      <c r="C62" s="100"/>
      <c r="D62" t="s" s="80">
        <v>60</v>
      </c>
      <c r="E62" t="s" s="80">
        <v>96</v>
      </c>
      <c r="F62" s="34">
        <v>1000</v>
      </c>
      <c r="G62" s="34"/>
      <c r="H62" s="35"/>
      <c r="I62" s="34" cm="1">
        <f t="array" ref="I62">F62</f>
        <v>1000</v>
      </c>
      <c r="J62" s="35"/>
      <c r="K62" s="35"/>
      <c r="L62" s="35"/>
      <c r="M62" s="35"/>
    </row>
    <row r="63" ht="13.55" customHeight="1">
      <c r="A63" s="9"/>
      <c r="B63" s="112">
        <v>45727</v>
      </c>
      <c r="C63" s="100"/>
      <c r="D63" t="s" s="80">
        <v>60</v>
      </c>
      <c r="E63" t="s" s="80">
        <v>97</v>
      </c>
      <c r="F63" s="34">
        <v>4500</v>
      </c>
      <c r="G63" s="34"/>
      <c r="H63" s="35"/>
      <c r="I63" s="34" cm="1">
        <f t="array" ref="I63">F63</f>
        <v>4500</v>
      </c>
      <c r="J63" s="35"/>
      <c r="K63" s="35"/>
      <c r="L63" s="35"/>
      <c r="M63" s="35"/>
    </row>
    <row r="64" ht="13.55" customHeight="1">
      <c r="A64" s="9"/>
      <c r="B64" s="112">
        <v>45734</v>
      </c>
      <c r="C64" s="98">
        <v>1819</v>
      </c>
      <c r="D64" t="s" s="80">
        <v>60</v>
      </c>
      <c r="E64" t="s" s="80">
        <v>98</v>
      </c>
      <c r="F64" s="34">
        <v>500</v>
      </c>
      <c r="G64" s="34"/>
      <c r="H64" s="35"/>
      <c r="I64" s="34" cm="1">
        <f t="array" ref="I64">F64</f>
        <v>500</v>
      </c>
      <c r="J64" s="35"/>
      <c r="K64" s="35"/>
      <c r="L64" s="35"/>
      <c r="M64" s="35"/>
    </row>
    <row r="65" ht="13.55" customHeight="1">
      <c r="A65" s="9"/>
      <c r="B65" s="112">
        <v>45734</v>
      </c>
      <c r="C65" s="98"/>
      <c r="D65" t="s" s="80">
        <v>99</v>
      </c>
      <c r="E65" t="s" s="80">
        <v>100</v>
      </c>
      <c r="F65" s="34">
        <v>22550</v>
      </c>
      <c r="G65" s="34"/>
      <c r="H65" s="35"/>
      <c r="I65" s="35"/>
      <c r="J65" s="34" cm="1">
        <f t="array" ref="J65">F65</f>
        <v>22550</v>
      </c>
      <c r="K65" s="35"/>
      <c r="L65" s="35"/>
      <c r="M65" s="35"/>
    </row>
    <row r="66" ht="13.55" customHeight="1">
      <c r="A66" s="9"/>
      <c r="B66" s="112">
        <v>45734</v>
      </c>
      <c r="C66" s="98"/>
      <c r="D66" t="s" s="80">
        <v>99</v>
      </c>
      <c r="E66" t="s" s="80">
        <v>100</v>
      </c>
      <c r="F66" s="34">
        <v>105650</v>
      </c>
      <c r="G66" s="34"/>
      <c r="H66" s="35"/>
      <c r="I66" s="35"/>
      <c r="J66" s="34" cm="1">
        <f t="array" ref="J66">F66</f>
        <v>105650</v>
      </c>
      <c r="K66" s="35"/>
      <c r="L66" s="35"/>
      <c r="M66" s="35"/>
    </row>
    <row r="67" ht="13.55" customHeight="1">
      <c r="A67" s="9"/>
      <c r="B67" s="112">
        <v>45734</v>
      </c>
      <c r="C67" s="98"/>
      <c r="D67" t="s" s="80">
        <v>99</v>
      </c>
      <c r="E67" t="s" s="80">
        <v>100</v>
      </c>
      <c r="F67" s="34">
        <v>26650</v>
      </c>
      <c r="G67" s="34"/>
      <c r="H67" s="35"/>
      <c r="I67" s="35"/>
      <c r="J67" s="34" cm="1">
        <f t="array" ref="J67">F67</f>
        <v>26650</v>
      </c>
      <c r="K67" s="35"/>
      <c r="L67" s="35"/>
      <c r="M67" s="35"/>
    </row>
    <row r="68" ht="13.55" customHeight="1">
      <c r="A68" s="9"/>
      <c r="B68" s="112">
        <v>45734</v>
      </c>
      <c r="C68" s="98">
        <v>1710</v>
      </c>
      <c r="D68" t="s" s="80">
        <v>60</v>
      </c>
      <c r="E68" t="s" s="80">
        <v>101</v>
      </c>
      <c r="F68" s="34">
        <v>500</v>
      </c>
      <c r="G68" s="34"/>
      <c r="H68" s="35"/>
      <c r="I68" s="34" cm="1">
        <f t="array" ref="I68">F68</f>
        <v>500</v>
      </c>
      <c r="J68" s="35"/>
      <c r="K68" s="35"/>
      <c r="L68" s="35"/>
      <c r="M68" s="35"/>
    </row>
    <row r="69" ht="13.55" customHeight="1">
      <c r="A69" s="9"/>
      <c r="B69" s="112">
        <v>45734</v>
      </c>
      <c r="C69" s="98">
        <v>1709</v>
      </c>
      <c r="D69" t="s" s="80">
        <v>60</v>
      </c>
      <c r="E69" t="s" s="80">
        <v>102</v>
      </c>
      <c r="F69" s="34">
        <v>500</v>
      </c>
      <c r="G69" s="34"/>
      <c r="H69" s="35"/>
      <c r="I69" s="34" cm="1">
        <f t="array" ref="I69">F69</f>
        <v>500</v>
      </c>
      <c r="J69" s="35"/>
      <c r="K69" s="35"/>
      <c r="L69" s="35"/>
      <c r="M69" s="35"/>
    </row>
    <row r="70" ht="13.55" customHeight="1">
      <c r="A70" s="9"/>
      <c r="B70" s="112">
        <v>45734</v>
      </c>
      <c r="C70" s="98"/>
      <c r="D70" t="s" s="80">
        <v>60</v>
      </c>
      <c r="E70" t="s" s="80">
        <v>103</v>
      </c>
      <c r="F70" s="34">
        <v>500</v>
      </c>
      <c r="G70" s="34"/>
      <c r="H70" s="35"/>
      <c r="I70" s="34" cm="1">
        <f t="array" ref="I70">F70</f>
        <v>500</v>
      </c>
      <c r="J70" s="35"/>
      <c r="K70" s="35"/>
      <c r="L70" s="35"/>
      <c r="M70" s="35"/>
    </row>
    <row r="71" ht="13.55" customHeight="1">
      <c r="A71" s="9"/>
      <c r="B71" s="112">
        <v>45735</v>
      </c>
      <c r="C71" s="98">
        <v>1713</v>
      </c>
      <c r="D71" t="s" s="80">
        <v>104</v>
      </c>
      <c r="E71" t="s" s="80">
        <v>100</v>
      </c>
      <c r="F71" s="34">
        <v>1500</v>
      </c>
      <c r="G71" s="34"/>
      <c r="H71" s="35"/>
      <c r="I71" s="35"/>
      <c r="J71" s="34" cm="1">
        <f t="array" ref="J71">F71</f>
        <v>1500</v>
      </c>
      <c r="K71" s="35"/>
      <c r="L71" s="35"/>
      <c r="M71" s="35"/>
    </row>
    <row r="72" ht="13.55" customHeight="1">
      <c r="A72" s="9"/>
      <c r="B72" s="112">
        <v>45735</v>
      </c>
      <c r="C72" s="98">
        <v>1714</v>
      </c>
      <c r="D72" t="s" s="80">
        <v>105</v>
      </c>
      <c r="E72" t="s" s="80">
        <v>100</v>
      </c>
      <c r="F72" s="34">
        <v>1500</v>
      </c>
      <c r="G72" s="34"/>
      <c r="H72" s="35"/>
      <c r="I72" s="35"/>
      <c r="J72" s="34" cm="1">
        <f t="array" ref="J72">F72</f>
        <v>1500</v>
      </c>
      <c r="K72" s="35"/>
      <c r="L72" s="35"/>
      <c r="M72" s="35"/>
    </row>
    <row r="73" ht="13.55" customHeight="1">
      <c r="A73" s="9"/>
      <c r="B73" s="112">
        <v>45735</v>
      </c>
      <c r="C73" s="98"/>
      <c r="D73" t="s" s="80">
        <v>99</v>
      </c>
      <c r="E73" t="s" s="80">
        <v>100</v>
      </c>
      <c r="F73" s="34">
        <v>1500</v>
      </c>
      <c r="G73" s="34"/>
      <c r="H73" s="35"/>
      <c r="I73" s="35"/>
      <c r="J73" s="34" cm="1">
        <f t="array" ref="J73">F73</f>
        <v>1500</v>
      </c>
      <c r="K73" s="35"/>
      <c r="L73" s="35"/>
      <c r="M73" s="35"/>
    </row>
    <row r="74" ht="13.55" customHeight="1">
      <c r="A74" s="9"/>
      <c r="B74" s="112">
        <v>45736</v>
      </c>
      <c r="C74" s="98"/>
      <c r="D74" t="s" s="80">
        <v>99</v>
      </c>
      <c r="E74" t="s" s="80">
        <v>100</v>
      </c>
      <c r="F74" s="34">
        <v>1250</v>
      </c>
      <c r="G74" s="34"/>
      <c r="H74" s="35"/>
      <c r="I74" s="35"/>
      <c r="J74" s="34" cm="1">
        <f t="array" ref="J74">F74</f>
        <v>1250</v>
      </c>
      <c r="K74" s="35"/>
      <c r="L74" s="35"/>
      <c r="M74" s="35"/>
    </row>
    <row r="75" ht="13.55" customHeight="1">
      <c r="A75" s="9"/>
      <c r="B75" s="112">
        <v>45736</v>
      </c>
      <c r="C75" s="98"/>
      <c r="D75" t="s" s="80">
        <v>99</v>
      </c>
      <c r="E75" t="s" s="80">
        <v>100</v>
      </c>
      <c r="F75" s="34">
        <v>500</v>
      </c>
      <c r="G75" s="34"/>
      <c r="H75" s="35"/>
      <c r="I75" s="35"/>
      <c r="J75" s="34" cm="1">
        <f t="array" ref="J75">F75</f>
        <v>500</v>
      </c>
      <c r="K75" s="35"/>
      <c r="L75" s="35"/>
      <c r="M75" s="35"/>
    </row>
    <row r="76" ht="13.55" customHeight="1">
      <c r="A76" s="9"/>
      <c r="B76" s="112">
        <v>45736</v>
      </c>
      <c r="C76" s="98">
        <v>1712</v>
      </c>
      <c r="D76" t="s" s="80">
        <v>60</v>
      </c>
      <c r="E76" t="s" s="80">
        <v>106</v>
      </c>
      <c r="F76" s="34">
        <v>1000</v>
      </c>
      <c r="G76" s="34"/>
      <c r="H76" s="35"/>
      <c r="I76" s="34" cm="1">
        <f t="array" ref="I76">F76</f>
        <v>1000</v>
      </c>
      <c r="J76" s="35"/>
      <c r="K76" s="35"/>
      <c r="L76" s="35"/>
      <c r="M76" s="35"/>
    </row>
    <row r="77" ht="13.55" customHeight="1">
      <c r="A77" s="9"/>
      <c r="B77" s="112">
        <v>45737</v>
      </c>
      <c r="C77" s="98">
        <v>1711</v>
      </c>
      <c r="D77" t="s" s="80">
        <v>60</v>
      </c>
      <c r="E77" t="s" s="80">
        <v>107</v>
      </c>
      <c r="F77" s="34">
        <v>1000</v>
      </c>
      <c r="G77" s="34"/>
      <c r="H77" s="35"/>
      <c r="I77" s="34" cm="1">
        <f t="array" ref="I77">F77</f>
        <v>1000</v>
      </c>
      <c r="J77" s="35"/>
      <c r="K77" s="35"/>
      <c r="L77" s="35"/>
      <c r="M77" s="35"/>
    </row>
    <row r="78" ht="13.55" customHeight="1">
      <c r="A78" s="9"/>
      <c r="B78" s="112">
        <v>45740</v>
      </c>
      <c r="C78" s="98"/>
      <c r="D78" t="s" s="80">
        <v>99</v>
      </c>
      <c r="E78" t="s" s="80">
        <v>100</v>
      </c>
      <c r="F78" s="34">
        <v>500</v>
      </c>
      <c r="G78" s="34"/>
      <c r="H78" s="35"/>
      <c r="I78" s="35"/>
      <c r="J78" s="34" cm="1">
        <f t="array" ref="J78">F78</f>
        <v>500</v>
      </c>
      <c r="K78" s="35"/>
      <c r="L78" s="35"/>
      <c r="M78" s="35"/>
    </row>
    <row r="79" ht="13.55" customHeight="1">
      <c r="A79" s="9"/>
      <c r="B79" s="112"/>
      <c r="C79" s="98"/>
      <c r="D79" s="35"/>
      <c r="E79" s="35"/>
      <c r="F79" s="34"/>
      <c r="G79" s="34"/>
      <c r="H79" s="35"/>
      <c r="I79" s="35"/>
      <c r="J79" s="35"/>
      <c r="K79" s="35"/>
      <c r="L79" s="35"/>
      <c r="M79" s="35"/>
    </row>
    <row r="80" ht="15.75" customHeight="1">
      <c r="A80" s="7"/>
      <c r="B80" s="102"/>
      <c r="C80" s="102"/>
      <c r="D80" s="102"/>
      <c r="E80" s="102"/>
      <c r="F80" s="104" cm="1">
        <f t="array" ref="F80">SUM(F54:F79)</f>
        <v>177800</v>
      </c>
      <c r="G80" s="34" cm="1">
        <f t="array" ref="G80">SUM(G54:G79)</f>
        <v>3500</v>
      </c>
      <c r="H80" s="106"/>
      <c r="I80" s="99" cm="1">
        <f t="array" ref="I80">SUM(I54:I79)</f>
        <v>16200</v>
      </c>
      <c r="J80" s="99" cm="1">
        <f t="array" ref="J80">SUM(J54:J79)</f>
        <v>161600</v>
      </c>
      <c r="K80" s="99" cm="1">
        <f t="array" ref="K80">SUM(K54:K79)</f>
        <v>3500</v>
      </c>
      <c r="L80" s="99" cm="1">
        <f t="array" ref="L80">SUM(L54:L79)</f>
        <v>0</v>
      </c>
      <c r="M80" s="106"/>
    </row>
    <row r="81" ht="18" customHeight="1">
      <c r="A81" s="9"/>
      <c r="B81" t="s" s="107">
        <v>77</v>
      </c>
      <c r="C81" s="108"/>
      <c r="D81" s="85"/>
      <c r="E81" s="84"/>
      <c r="F81" s="84"/>
      <c r="G81" s="113"/>
      <c r="H81" s="35"/>
      <c r="I81" s="35"/>
      <c r="J81" s="35"/>
      <c r="K81" s="35"/>
      <c r="L81" s="35"/>
      <c r="M81" s="35"/>
    </row>
    <row r="82" ht="18" customHeight="1">
      <c r="A82" s="9"/>
      <c r="B82" t="s" s="86">
        <v>108</v>
      </c>
      <c r="C82" s="87"/>
      <c r="D82" s="88"/>
      <c r="E82" s="88"/>
      <c r="F82" s="88"/>
      <c r="G82" s="113"/>
      <c r="H82" s="35"/>
      <c r="I82" s="35"/>
      <c r="J82" s="35"/>
      <c r="K82" s="35"/>
      <c r="L82" s="35"/>
      <c r="M82" s="35"/>
    </row>
    <row r="83" ht="16.5" customHeight="1">
      <c r="A83" s="9"/>
      <c r="B83" s="110"/>
      <c r="C83" s="89"/>
      <c r="D83" t="s" s="90">
        <v>78</v>
      </c>
      <c r="E83" t="s" s="90">
        <v>52</v>
      </c>
      <c r="F83" s="89"/>
      <c r="G83" t="s" s="90">
        <v>53</v>
      </c>
      <c r="H83" s="35"/>
      <c r="I83" s="35"/>
      <c r="J83" s="35"/>
      <c r="K83" s="35"/>
      <c r="L83" s="35"/>
      <c r="M83" s="35"/>
    </row>
    <row r="84" ht="33" customHeight="1">
      <c r="A84" s="9"/>
      <c r="B84" t="s" s="111">
        <v>79</v>
      </c>
      <c r="C84" t="s" s="90">
        <v>54</v>
      </c>
      <c r="D84" s="114">
        <v>12061001385</v>
      </c>
      <c r="E84" t="s" s="90">
        <v>55</v>
      </c>
      <c r="F84" t="s" s="90">
        <v>8</v>
      </c>
      <c r="G84" t="s" s="90">
        <v>109</v>
      </c>
      <c r="H84" s="35"/>
      <c r="I84" s="35"/>
      <c r="J84" s="35"/>
      <c r="K84" s="35"/>
      <c r="L84" s="35"/>
      <c r="M84" s="35"/>
    </row>
    <row r="85" ht="16.5" customHeight="1">
      <c r="A85" s="9"/>
      <c r="B85" t="s" s="111">
        <v>8</v>
      </c>
      <c r="C85" t="s" s="94">
        <v>58</v>
      </c>
      <c r="D85" t="s" s="95">
        <v>8</v>
      </c>
      <c r="E85" s="89"/>
      <c r="F85" t="s" s="96">
        <v>59</v>
      </c>
      <c r="G85" s="97"/>
      <c r="H85" s="34" cm="1">
        <f t="array" ref="H85">G102+F102</f>
        <v>85400</v>
      </c>
      <c r="I85" s="35"/>
      <c r="J85" s="35"/>
      <c r="K85" s="35"/>
      <c r="L85" s="35"/>
      <c r="M85" s="35"/>
    </row>
    <row r="86" ht="13.55" customHeight="1">
      <c r="A86" s="9"/>
      <c r="B86" s="112">
        <v>45748</v>
      </c>
      <c r="C86" s="98"/>
      <c r="D86" t="s" s="80">
        <v>60</v>
      </c>
      <c r="E86" t="s" s="80">
        <v>110</v>
      </c>
      <c r="F86" s="34">
        <v>0</v>
      </c>
      <c r="G86" s="34">
        <v>500</v>
      </c>
      <c r="H86" s="35"/>
      <c r="I86" s="35"/>
      <c r="J86" s="35"/>
      <c r="K86" s="34" cm="1">
        <f t="array" ref="K86">G86</f>
        <v>500</v>
      </c>
      <c r="L86" s="35"/>
      <c r="M86" s="35"/>
    </row>
    <row r="87" ht="13.55" customHeight="1">
      <c r="A87" s="9"/>
      <c r="B87" s="112">
        <v>45748</v>
      </c>
      <c r="C87" s="98"/>
      <c r="D87" t="s" s="80">
        <v>60</v>
      </c>
      <c r="E87" t="s" s="80">
        <v>111</v>
      </c>
      <c r="F87" s="99">
        <v>0</v>
      </c>
      <c r="G87" s="34">
        <v>1500</v>
      </c>
      <c r="H87" s="35"/>
      <c r="I87" s="35"/>
      <c r="J87" s="35"/>
      <c r="K87" s="34" cm="1">
        <f t="array" ref="K87">G87</f>
        <v>1500</v>
      </c>
      <c r="L87" s="35"/>
      <c r="M87" s="35"/>
    </row>
    <row r="88" ht="13.55" customHeight="1">
      <c r="A88" s="9"/>
      <c r="B88" s="112">
        <v>45754</v>
      </c>
      <c r="C88" s="100"/>
      <c r="D88" t="s" s="80">
        <v>60</v>
      </c>
      <c r="E88" t="s" s="80">
        <v>112</v>
      </c>
      <c r="F88" s="99">
        <v>0</v>
      </c>
      <c r="G88" s="34">
        <v>500</v>
      </c>
      <c r="H88" s="35"/>
      <c r="I88" s="35"/>
      <c r="J88" s="35"/>
      <c r="K88" s="34" cm="1">
        <f t="array" ref="K88">G88</f>
        <v>500</v>
      </c>
      <c r="L88" s="35"/>
      <c r="M88" s="35"/>
    </row>
    <row r="89" ht="13.55" customHeight="1">
      <c r="A89" s="9"/>
      <c r="B89" s="112">
        <v>45751</v>
      </c>
      <c r="C89" s="98"/>
      <c r="D89" t="s" s="80">
        <v>60</v>
      </c>
      <c r="E89" t="s" s="80">
        <v>113</v>
      </c>
      <c r="F89" s="34">
        <v>0</v>
      </c>
      <c r="G89" s="34">
        <v>250</v>
      </c>
      <c r="H89" s="35"/>
      <c r="I89" s="35"/>
      <c r="J89" s="35"/>
      <c r="K89" s="34" cm="1">
        <f t="array" ref="K89">G89</f>
        <v>250</v>
      </c>
      <c r="L89" s="35"/>
      <c r="M89" s="35"/>
    </row>
    <row r="90" ht="13.55" customHeight="1">
      <c r="A90" s="9"/>
      <c r="B90" s="112">
        <v>45751</v>
      </c>
      <c r="C90" s="98"/>
      <c r="D90" t="s" s="80">
        <v>60</v>
      </c>
      <c r="E90" t="s" s="80">
        <v>112</v>
      </c>
      <c r="F90" s="34">
        <v>0</v>
      </c>
      <c r="G90" s="34">
        <v>500</v>
      </c>
      <c r="H90" s="35"/>
      <c r="I90" s="35"/>
      <c r="J90" s="35"/>
      <c r="K90" s="34" cm="1">
        <f t="array" ref="K90">G90</f>
        <v>500</v>
      </c>
      <c r="L90" s="35"/>
      <c r="M90" s="35"/>
    </row>
    <row r="91" ht="13.55" customHeight="1">
      <c r="A91" s="9"/>
      <c r="B91" s="112">
        <v>45763</v>
      </c>
      <c r="C91" t="s" s="19">
        <v>114</v>
      </c>
      <c r="D91" t="s" s="80">
        <v>60</v>
      </c>
      <c r="E91" t="s" s="80">
        <v>115</v>
      </c>
      <c r="F91" s="34">
        <v>1500</v>
      </c>
      <c r="G91" s="34"/>
      <c r="H91" s="35"/>
      <c r="I91" s="34" cm="1">
        <f t="array" ref="I91">F91</f>
        <v>1500</v>
      </c>
      <c r="J91" s="35"/>
      <c r="K91" s="35"/>
      <c r="L91" s="35"/>
      <c r="M91" s="35"/>
    </row>
    <row r="92" ht="13.55" customHeight="1">
      <c r="A92" s="9"/>
      <c r="B92" s="112">
        <v>45762</v>
      </c>
      <c r="C92" s="100"/>
      <c r="D92" t="s" s="80">
        <v>99</v>
      </c>
      <c r="E92" t="s" s="80">
        <v>100</v>
      </c>
      <c r="F92" s="99">
        <v>21550</v>
      </c>
      <c r="G92" s="34"/>
      <c r="H92" s="35"/>
      <c r="I92" s="35"/>
      <c r="J92" s="34" cm="1">
        <f t="array" ref="J92">F92</f>
        <v>21550</v>
      </c>
      <c r="K92" s="35"/>
      <c r="L92" s="35"/>
      <c r="M92" s="35"/>
    </row>
    <row r="93" ht="13.55" customHeight="1">
      <c r="A93" s="9"/>
      <c r="B93" s="112">
        <v>45762</v>
      </c>
      <c r="C93" s="98"/>
      <c r="D93" t="s" s="80">
        <v>99</v>
      </c>
      <c r="E93" t="s" s="80">
        <v>100</v>
      </c>
      <c r="F93" s="99">
        <v>46800</v>
      </c>
      <c r="G93" s="34"/>
      <c r="H93" s="35"/>
      <c r="I93" s="35"/>
      <c r="J93" s="34" cm="1">
        <f t="array" ref="J93">F93</f>
        <v>46800</v>
      </c>
      <c r="K93" s="35"/>
      <c r="L93" s="35"/>
      <c r="M93" s="35"/>
    </row>
    <row r="94" ht="13.55" customHeight="1">
      <c r="A94" s="9"/>
      <c r="B94" s="112">
        <v>45428</v>
      </c>
      <c r="C94" s="100"/>
      <c r="D94" t="s" s="80">
        <v>60</v>
      </c>
      <c r="E94" t="s" s="80">
        <v>100</v>
      </c>
      <c r="F94" s="99">
        <v>7800</v>
      </c>
      <c r="G94" s="34"/>
      <c r="H94" s="35"/>
      <c r="I94" s="35"/>
      <c r="J94" s="34" cm="1">
        <f t="array" ref="J94">F94</f>
        <v>7800</v>
      </c>
      <c r="K94" s="35"/>
      <c r="L94" s="35"/>
      <c r="M94" s="35"/>
    </row>
    <row r="95" ht="13.55" customHeight="1">
      <c r="A95" s="9"/>
      <c r="B95" s="112">
        <v>45428</v>
      </c>
      <c r="C95" t="s" s="19">
        <v>116</v>
      </c>
      <c r="D95" t="s" s="80">
        <v>60</v>
      </c>
      <c r="E95" t="s" s="80">
        <v>117</v>
      </c>
      <c r="F95" s="99">
        <v>500</v>
      </c>
      <c r="G95" s="34"/>
      <c r="H95" s="35"/>
      <c r="I95" s="34" cm="1">
        <f t="array" ref="I95">F95</f>
        <v>500</v>
      </c>
      <c r="J95" s="35"/>
      <c r="K95" s="35"/>
      <c r="L95" s="35"/>
      <c r="M95" s="35"/>
    </row>
    <row r="96" ht="13.55" customHeight="1">
      <c r="A96" s="9"/>
      <c r="B96" s="112">
        <v>45763</v>
      </c>
      <c r="C96" t="s" s="19">
        <v>118</v>
      </c>
      <c r="D96" t="s" s="80">
        <v>60</v>
      </c>
      <c r="E96" t="s" s="80">
        <v>119</v>
      </c>
      <c r="F96" s="34">
        <v>1500</v>
      </c>
      <c r="G96" s="34"/>
      <c r="H96" s="35"/>
      <c r="I96" s="34" cm="1">
        <f t="array" ref="I96">F96</f>
        <v>1500</v>
      </c>
      <c r="J96" s="35"/>
      <c r="K96" s="35"/>
      <c r="L96" s="35"/>
      <c r="M96" s="35"/>
    </row>
    <row r="97" ht="13.55" customHeight="1">
      <c r="A97" s="9"/>
      <c r="B97" s="112">
        <v>45763</v>
      </c>
      <c r="C97" t="s" s="19">
        <v>120</v>
      </c>
      <c r="D97" t="s" s="80">
        <v>60</v>
      </c>
      <c r="E97" t="s" s="80">
        <v>121</v>
      </c>
      <c r="F97" s="115">
        <v>1000</v>
      </c>
      <c r="G97" s="34"/>
      <c r="H97" s="35"/>
      <c r="I97" s="34" cm="1">
        <f t="array" ref="I97">F97</f>
        <v>1000</v>
      </c>
      <c r="J97" s="35"/>
      <c r="K97" s="35"/>
      <c r="L97" s="35"/>
      <c r="M97" s="35"/>
    </row>
    <row r="98" ht="13.55" customHeight="1">
      <c r="A98" s="9"/>
      <c r="B98" s="112">
        <v>45763</v>
      </c>
      <c r="C98" t="s" s="19">
        <v>122</v>
      </c>
      <c r="D98" t="s" s="80">
        <v>60</v>
      </c>
      <c r="E98" t="s" s="80">
        <v>123</v>
      </c>
      <c r="F98" s="115">
        <v>500</v>
      </c>
      <c r="G98" s="34"/>
      <c r="H98" s="35"/>
      <c r="I98" s="34" cm="1">
        <f t="array" ref="I98">F98</f>
        <v>500</v>
      </c>
      <c r="J98" s="35"/>
      <c r="K98" s="35"/>
      <c r="L98" s="35"/>
      <c r="M98" s="35"/>
    </row>
    <row r="99" ht="13.55" customHeight="1">
      <c r="A99" s="9"/>
      <c r="B99" s="112">
        <v>45768</v>
      </c>
      <c r="C99" t="s" s="19">
        <v>124</v>
      </c>
      <c r="D99" t="s" s="80">
        <v>60</v>
      </c>
      <c r="E99" t="s" s="80">
        <v>125</v>
      </c>
      <c r="F99" s="115">
        <v>500</v>
      </c>
      <c r="G99" s="34"/>
      <c r="H99" s="35"/>
      <c r="I99" s="34" cm="1">
        <f t="array" ref="I99">F99</f>
        <v>500</v>
      </c>
      <c r="J99" s="35"/>
      <c r="K99" s="35"/>
      <c r="L99" s="35"/>
      <c r="M99" s="35"/>
    </row>
    <row r="100" ht="13.55" customHeight="1">
      <c r="A100" s="9"/>
      <c r="B100" s="112">
        <v>45806</v>
      </c>
      <c r="C100" t="s" s="19">
        <v>126</v>
      </c>
      <c r="D100" t="s" s="80">
        <v>60</v>
      </c>
      <c r="E100" t="s" s="80">
        <v>127</v>
      </c>
      <c r="F100" s="34">
        <v>300</v>
      </c>
      <c r="G100" s="34"/>
      <c r="H100" s="35"/>
      <c r="I100" s="34" cm="1">
        <f t="array" ref="I100">F100</f>
        <v>300</v>
      </c>
      <c r="J100" s="35"/>
      <c r="K100" s="35"/>
      <c r="L100" s="35"/>
      <c r="M100" s="35"/>
    </row>
    <row r="101" ht="13.55" customHeight="1">
      <c r="A101" s="9"/>
      <c r="B101" s="112">
        <v>45777</v>
      </c>
      <c r="C101" t="s" s="19">
        <v>128</v>
      </c>
      <c r="D101" t="s" s="80">
        <v>60</v>
      </c>
      <c r="E101" t="s" s="80">
        <v>127</v>
      </c>
      <c r="F101" s="34">
        <v>200</v>
      </c>
      <c r="G101" s="34"/>
      <c r="H101" s="35"/>
      <c r="I101" s="34" cm="1">
        <f t="array" ref="I101">F101</f>
        <v>200</v>
      </c>
      <c r="J101" s="35"/>
      <c r="K101" s="35"/>
      <c r="L101" s="35"/>
      <c r="M101" s="35"/>
    </row>
    <row r="102" ht="13.55" customHeight="1">
      <c r="A102" s="9"/>
      <c r="B102" s="112"/>
      <c r="C102" s="98"/>
      <c r="D102" s="35"/>
      <c r="E102" s="35"/>
      <c r="F102" s="34" cm="1">
        <f t="array" ref="F102">SUM(F86:F101)</f>
        <v>82150</v>
      </c>
      <c r="G102" s="34" cm="1">
        <f t="array" ref="G102">SUM(G86:G101)</f>
        <v>3250</v>
      </c>
      <c r="H102" s="106"/>
      <c r="I102" s="99" cm="1">
        <f t="array" ref="I102">SUM(I86:I101)</f>
        <v>6000</v>
      </c>
      <c r="J102" s="99" cm="1">
        <f t="array" ref="J102">SUM(J86:J101)</f>
        <v>76150</v>
      </c>
      <c r="K102" s="99" cm="1">
        <f t="array" ref="K102">SUM(K86:K101)</f>
        <v>3250</v>
      </c>
      <c r="L102" s="99" cm="1">
        <f t="array" ref="L102">SUM(L86:L101)</f>
        <v>0</v>
      </c>
      <c r="M102" s="106"/>
    </row>
    <row r="103" ht="15.75" customHeight="1">
      <c r="A103" s="7"/>
      <c r="B103" s="102"/>
      <c r="C103" s="102"/>
      <c r="D103" s="102"/>
      <c r="E103" s="102"/>
      <c r="F103" s="102"/>
      <c r="G103" s="116"/>
      <c r="H103" s="35"/>
      <c r="I103" s="35"/>
      <c r="J103" s="35"/>
      <c r="K103" s="35"/>
      <c r="L103" s="35"/>
      <c r="M103" s="35"/>
    </row>
    <row r="104" ht="18" customHeight="1">
      <c r="A104" s="9"/>
      <c r="B104" t="s" s="107">
        <v>77</v>
      </c>
      <c r="C104" s="108"/>
      <c r="D104" s="85"/>
      <c r="E104" s="84"/>
      <c r="F104" s="84"/>
      <c r="G104" s="84"/>
      <c r="H104" s="35"/>
      <c r="I104" s="35"/>
      <c r="J104" s="35"/>
      <c r="K104" s="35"/>
      <c r="L104" s="35"/>
      <c r="M104" s="35"/>
    </row>
    <row r="105" ht="18" customHeight="1">
      <c r="A105" s="9"/>
      <c r="B105" t="s" s="86">
        <v>129</v>
      </c>
      <c r="C105" s="87"/>
      <c r="D105" s="88"/>
      <c r="E105" s="88"/>
      <c r="F105" s="88"/>
      <c r="G105" s="113"/>
      <c r="H105" s="35"/>
      <c r="I105" s="35"/>
      <c r="J105" s="35"/>
      <c r="K105" s="35"/>
      <c r="L105" s="35"/>
      <c r="M105" s="35"/>
    </row>
    <row r="106" ht="16.5" customHeight="1">
      <c r="A106" s="9"/>
      <c r="B106" s="110"/>
      <c r="C106" s="89"/>
      <c r="D106" t="s" s="90">
        <v>78</v>
      </c>
      <c r="E106" t="s" s="90">
        <v>52</v>
      </c>
      <c r="F106" s="89"/>
      <c r="G106" t="s" s="90">
        <v>53</v>
      </c>
      <c r="H106" s="35"/>
      <c r="I106" s="35"/>
      <c r="J106" s="35"/>
      <c r="K106" s="35"/>
      <c r="L106" s="35"/>
      <c r="M106" s="35"/>
    </row>
    <row r="107" ht="33" customHeight="1">
      <c r="A107" s="9"/>
      <c r="B107" t="s" s="111">
        <v>79</v>
      </c>
      <c r="C107" t="s" s="90">
        <v>54</v>
      </c>
      <c r="D107" s="114">
        <v>12061001385</v>
      </c>
      <c r="E107" t="s" s="90">
        <v>55</v>
      </c>
      <c r="F107" t="s" s="90">
        <v>8</v>
      </c>
      <c r="G107" t="s" s="90">
        <v>109</v>
      </c>
      <c r="H107" s="35"/>
      <c r="I107" s="35"/>
      <c r="J107" s="35"/>
      <c r="K107" s="35"/>
      <c r="L107" s="35"/>
      <c r="M107" s="35"/>
    </row>
    <row r="108" ht="16.5" customHeight="1">
      <c r="A108" s="9"/>
      <c r="B108" t="s" s="111">
        <v>8</v>
      </c>
      <c r="C108" t="s" s="94">
        <v>58</v>
      </c>
      <c r="D108" t="s" s="95">
        <v>8</v>
      </c>
      <c r="E108" s="89"/>
      <c r="F108" t="s" s="96">
        <v>59</v>
      </c>
      <c r="G108" s="97"/>
      <c r="H108" s="35"/>
      <c r="I108" s="35"/>
      <c r="J108" s="35"/>
      <c r="K108" s="35"/>
      <c r="L108" s="35"/>
      <c r="M108" s="35"/>
    </row>
    <row r="109" ht="13.55" customHeight="1">
      <c r="A109" s="9"/>
      <c r="B109" s="112">
        <v>45779</v>
      </c>
      <c r="C109" t="s" s="19">
        <v>130</v>
      </c>
      <c r="D109" t="s" s="80">
        <v>60</v>
      </c>
      <c r="E109" t="s" s="80">
        <v>131</v>
      </c>
      <c r="F109" s="34">
        <v>500</v>
      </c>
      <c r="G109" s="34"/>
      <c r="H109" s="34" cm="1">
        <f t="array" ref="H109">G126+F126</f>
        <v>83850</v>
      </c>
      <c r="I109" s="34" cm="1">
        <f t="array" ref="I109">F109</f>
        <v>500</v>
      </c>
      <c r="J109" s="35"/>
      <c r="K109" s="35"/>
      <c r="L109" s="35"/>
      <c r="M109" s="35"/>
    </row>
    <row r="110" ht="13.55" customHeight="1">
      <c r="A110" s="9"/>
      <c r="B110" s="112">
        <v>45779</v>
      </c>
      <c r="C110" s="98"/>
      <c r="D110" t="s" s="80">
        <v>60</v>
      </c>
      <c r="E110" t="s" s="80">
        <v>73</v>
      </c>
      <c r="F110" s="99"/>
      <c r="G110" s="34">
        <v>500</v>
      </c>
      <c r="H110" s="35"/>
      <c r="I110" s="35"/>
      <c r="J110" t="s" s="80">
        <v>8</v>
      </c>
      <c r="K110" s="34" cm="1">
        <f t="array" ref="K110">G110</f>
        <v>500</v>
      </c>
      <c r="L110" s="35"/>
      <c r="M110" s="35"/>
    </row>
    <row r="111" ht="13.55" customHeight="1">
      <c r="A111" s="9"/>
      <c r="B111" s="112">
        <v>45782</v>
      </c>
      <c r="C111" t="s" s="19">
        <v>132</v>
      </c>
      <c r="D111" t="s" s="80">
        <v>60</v>
      </c>
      <c r="E111" t="s" s="80">
        <v>133</v>
      </c>
      <c r="F111" s="99">
        <v>500</v>
      </c>
      <c r="G111" s="34"/>
      <c r="H111" s="35"/>
      <c r="I111" s="34" cm="1">
        <f t="array" ref="I111">F111</f>
        <v>500</v>
      </c>
      <c r="J111" s="35"/>
      <c r="K111" s="35"/>
      <c r="L111" s="35"/>
      <c r="M111" s="35"/>
    </row>
    <row r="112" ht="13.55" customHeight="1">
      <c r="A112" s="9"/>
      <c r="B112" s="112">
        <v>45782</v>
      </c>
      <c r="C112" s="98"/>
      <c r="D112" t="s" s="80">
        <v>60</v>
      </c>
      <c r="E112" t="s" s="80">
        <v>112</v>
      </c>
      <c r="F112" s="34"/>
      <c r="G112" s="34">
        <v>500</v>
      </c>
      <c r="H112" s="35"/>
      <c r="I112" s="35"/>
      <c r="J112" s="35"/>
      <c r="K112" s="34" cm="1">
        <f t="array" ref="K112">G112</f>
        <v>500</v>
      </c>
      <c r="L112" s="35"/>
      <c r="M112" s="35"/>
    </row>
    <row r="113" ht="13.55" customHeight="1">
      <c r="A113" s="9"/>
      <c r="B113" s="112">
        <v>45782</v>
      </c>
      <c r="C113" s="98"/>
      <c r="D113" t="s" s="80">
        <v>60</v>
      </c>
      <c r="E113" t="s" s="80">
        <v>134</v>
      </c>
      <c r="F113" s="34"/>
      <c r="G113" s="34">
        <v>1500</v>
      </c>
      <c r="H113" s="35"/>
      <c r="I113" s="35"/>
      <c r="J113" s="35"/>
      <c r="K113" s="34" cm="1">
        <f t="array" ref="K113">G113</f>
        <v>1500</v>
      </c>
      <c r="L113" s="35"/>
      <c r="M113" s="35"/>
    </row>
    <row r="114" ht="13.55" customHeight="1">
      <c r="A114" s="9"/>
      <c r="B114" s="112">
        <v>45790</v>
      </c>
      <c r="C114" s="98"/>
      <c r="D114" t="s" s="80">
        <v>60</v>
      </c>
      <c r="E114" t="s" s="80">
        <v>135</v>
      </c>
      <c r="F114" s="34"/>
      <c r="G114" s="34">
        <v>500</v>
      </c>
      <c r="H114" s="35"/>
      <c r="I114" s="35"/>
      <c r="J114" s="35"/>
      <c r="K114" s="34" cm="1">
        <f t="array" ref="K114">G114</f>
        <v>500</v>
      </c>
      <c r="L114" s="35"/>
      <c r="M114" s="35"/>
    </row>
    <row r="115" ht="13.55" customHeight="1">
      <c r="A115" s="9"/>
      <c r="B115" s="112">
        <v>45790</v>
      </c>
      <c r="C115" s="100"/>
      <c r="D115" t="s" s="80">
        <v>60</v>
      </c>
      <c r="E115" t="s" s="80">
        <v>136</v>
      </c>
      <c r="F115" s="99"/>
      <c r="G115" s="34">
        <v>500</v>
      </c>
      <c r="H115" s="35"/>
      <c r="I115" s="35"/>
      <c r="J115" s="35"/>
      <c r="K115" s="34" cm="1">
        <f t="array" ref="K115">G115</f>
        <v>500</v>
      </c>
      <c r="L115" s="35"/>
      <c r="M115" s="35"/>
    </row>
    <row r="116" ht="13.55" customHeight="1">
      <c r="A116" s="9"/>
      <c r="B116" s="112">
        <v>45792</v>
      </c>
      <c r="C116" s="98"/>
      <c r="D116" t="s" s="80">
        <v>99</v>
      </c>
      <c r="E116" t="s" s="80">
        <v>137</v>
      </c>
      <c r="F116" s="99">
        <v>43250</v>
      </c>
      <c r="G116" s="34"/>
      <c r="H116" s="35"/>
      <c r="I116" s="35"/>
      <c r="J116" s="34" cm="1">
        <f t="array" ref="J116">F116</f>
        <v>43250</v>
      </c>
      <c r="K116" s="35"/>
      <c r="L116" s="35"/>
      <c r="M116" s="35"/>
    </row>
    <row r="117" ht="13.55" customHeight="1">
      <c r="A117" s="9"/>
      <c r="B117" s="112">
        <v>45792</v>
      </c>
      <c r="C117" s="100"/>
      <c r="D117" t="s" s="80">
        <v>99</v>
      </c>
      <c r="E117" t="s" s="80">
        <v>137</v>
      </c>
      <c r="F117" s="99">
        <v>7300</v>
      </c>
      <c r="G117" s="34"/>
      <c r="H117" s="35"/>
      <c r="I117" s="35"/>
      <c r="J117" s="34" cm="1">
        <f t="array" ref="J117">F117</f>
        <v>7300</v>
      </c>
      <c r="K117" s="35"/>
      <c r="L117" s="35"/>
      <c r="M117" s="35"/>
    </row>
    <row r="118" ht="13.55" customHeight="1">
      <c r="A118" s="9"/>
      <c r="B118" s="112">
        <v>45792</v>
      </c>
      <c r="C118" s="100"/>
      <c r="D118" t="s" s="80">
        <v>99</v>
      </c>
      <c r="E118" t="s" s="80">
        <v>137</v>
      </c>
      <c r="F118" s="99">
        <v>22050</v>
      </c>
      <c r="G118" s="34"/>
      <c r="H118" s="35"/>
      <c r="I118" s="35"/>
      <c r="J118" s="34" cm="1">
        <f t="array" ref="J118">F118</f>
        <v>22050</v>
      </c>
      <c r="K118" s="35"/>
      <c r="L118" s="35"/>
      <c r="M118" s="35"/>
    </row>
    <row r="119" ht="13.55" customHeight="1">
      <c r="A119" s="9"/>
      <c r="B119" s="112">
        <v>45792</v>
      </c>
      <c r="C119" t="s" s="19">
        <v>138</v>
      </c>
      <c r="D119" t="s" s="80">
        <v>60</v>
      </c>
      <c r="E119" t="s" s="80">
        <v>72</v>
      </c>
      <c r="F119" s="34">
        <v>1000</v>
      </c>
      <c r="G119" s="34"/>
      <c r="H119" s="35"/>
      <c r="I119" s="34" cm="1">
        <f t="array" ref="I119">F119</f>
        <v>1000</v>
      </c>
      <c r="J119" s="35"/>
      <c r="K119" s="35"/>
      <c r="L119" s="35"/>
      <c r="M119" s="35"/>
    </row>
    <row r="120" ht="13.55" customHeight="1">
      <c r="A120" s="9"/>
      <c r="B120" s="112">
        <v>45792</v>
      </c>
      <c r="C120" t="s" s="19">
        <v>139</v>
      </c>
      <c r="D120" t="s" s="80">
        <v>60</v>
      </c>
      <c r="E120" t="s" s="80">
        <v>140</v>
      </c>
      <c r="F120" s="115">
        <v>500</v>
      </c>
      <c r="G120" s="34"/>
      <c r="H120" s="35"/>
      <c r="I120" s="34" cm="1">
        <f t="array" ref="I120">F120</f>
        <v>500</v>
      </c>
      <c r="J120" s="35"/>
      <c r="K120" s="35"/>
      <c r="L120" s="35"/>
      <c r="M120" s="35"/>
    </row>
    <row r="121" ht="13.55" customHeight="1">
      <c r="A121" s="9"/>
      <c r="B121" s="112">
        <v>45793</v>
      </c>
      <c r="C121" t="s" s="19">
        <v>141</v>
      </c>
      <c r="D121" t="s" s="80">
        <v>60</v>
      </c>
      <c r="E121" t="s" s="80">
        <v>104</v>
      </c>
      <c r="F121" s="115">
        <v>1500</v>
      </c>
      <c r="G121" s="34"/>
      <c r="H121" s="35"/>
      <c r="I121" s="34" cm="1">
        <f t="array" ref="I121">F121</f>
        <v>1500</v>
      </c>
      <c r="J121" s="35"/>
      <c r="K121" s="35"/>
      <c r="L121" s="35"/>
      <c r="M121" s="35"/>
    </row>
    <row r="122" ht="13.55" customHeight="1">
      <c r="A122" s="9"/>
      <c r="B122" s="112">
        <v>45793</v>
      </c>
      <c r="C122" t="s" s="19">
        <v>142</v>
      </c>
      <c r="D122" t="s" s="80">
        <v>60</v>
      </c>
      <c r="E122" t="s" s="80">
        <v>143</v>
      </c>
      <c r="F122" s="115">
        <v>1500</v>
      </c>
      <c r="G122" s="34"/>
      <c r="H122" s="35"/>
      <c r="I122" s="34" cm="1">
        <f t="array" ref="I122">F122</f>
        <v>1500</v>
      </c>
      <c r="J122" s="35"/>
      <c r="K122" s="35"/>
      <c r="L122" s="35"/>
      <c r="M122" s="35"/>
    </row>
    <row r="123" ht="13.55" customHeight="1">
      <c r="A123" s="9"/>
      <c r="B123" s="112">
        <v>45796</v>
      </c>
      <c r="C123" s="98"/>
      <c r="D123" t="s" s="80">
        <v>60</v>
      </c>
      <c r="E123" t="s" s="80">
        <v>113</v>
      </c>
      <c r="F123" s="34"/>
      <c r="G123" s="34">
        <v>500</v>
      </c>
      <c r="H123" s="35"/>
      <c r="I123" s="35"/>
      <c r="J123" s="35"/>
      <c r="K123" s="34" cm="1">
        <f t="array" ref="K123">G123</f>
        <v>500</v>
      </c>
      <c r="L123" s="35"/>
      <c r="M123" s="35"/>
    </row>
    <row r="124" ht="13.55" customHeight="1">
      <c r="A124" s="9"/>
      <c r="B124" s="112">
        <v>45797</v>
      </c>
      <c r="C124" s="98"/>
      <c r="D124" t="s" s="80">
        <v>60</v>
      </c>
      <c r="E124" t="s" s="80">
        <v>144</v>
      </c>
      <c r="F124" s="34">
        <v>1750</v>
      </c>
      <c r="G124" s="34"/>
      <c r="H124" s="35"/>
      <c r="I124" s="34" cm="1">
        <f t="array" ref="I124">F124</f>
        <v>1750</v>
      </c>
      <c r="J124" s="35"/>
      <c r="K124" s="35"/>
      <c r="L124" s="35"/>
      <c r="M124" s="35"/>
    </row>
    <row r="125" ht="13.55" customHeight="1">
      <c r="A125" s="9"/>
      <c r="B125" s="112"/>
      <c r="C125" s="98"/>
      <c r="D125" s="35"/>
      <c r="E125" s="35"/>
      <c r="F125" s="34"/>
      <c r="G125" s="34"/>
      <c r="H125" s="35"/>
      <c r="I125" s="35"/>
      <c r="J125" s="35"/>
      <c r="K125" s="35"/>
      <c r="L125" s="35"/>
      <c r="M125" s="35"/>
    </row>
    <row r="126" ht="13.55" customHeight="1">
      <c r="A126" s="79"/>
      <c r="B126" s="101"/>
      <c r="C126" s="98"/>
      <c r="D126" s="35"/>
      <c r="E126" s="101"/>
      <c r="F126" s="34" cm="1">
        <f t="array" ref="F126">SUM(F109:F125)</f>
        <v>79850</v>
      </c>
      <c r="G126" s="34" cm="1">
        <f t="array" ref="G126">SUM(G109:G125)</f>
        <v>4000</v>
      </c>
      <c r="H126" s="106"/>
      <c r="I126" s="99" cm="1">
        <f t="array" ref="I126">SUM(I109:I125)</f>
        <v>7250</v>
      </c>
      <c r="J126" s="99" cm="1">
        <f t="array" ref="J126">SUM(J109:J125)</f>
        <v>72600</v>
      </c>
      <c r="K126" s="99" cm="1">
        <f t="array" ref="K126">SUM(K109:K125)</f>
        <v>4000</v>
      </c>
      <c r="L126" s="99" cm="1">
        <f t="array" ref="L126">SUM(L109:L125)</f>
        <v>0</v>
      </c>
      <c r="M126" s="106"/>
    </row>
    <row r="127" ht="15.75" customHeight="1">
      <c r="A127" s="7"/>
      <c r="B127" s="102"/>
      <c r="C127" s="102"/>
      <c r="D127" s="102"/>
      <c r="E127" s="102"/>
      <c r="F127" s="102"/>
      <c r="G127" s="116"/>
      <c r="H127" s="35"/>
      <c r="I127" s="35"/>
      <c r="J127" s="35"/>
      <c r="K127" s="35"/>
      <c r="L127" s="35"/>
      <c r="M127" s="35"/>
    </row>
    <row r="128" ht="18" customHeight="1">
      <c r="A128" s="9"/>
      <c r="B128" t="s" s="107">
        <v>77</v>
      </c>
      <c r="C128" s="108"/>
      <c r="D128" s="85"/>
      <c r="E128" s="84"/>
      <c r="F128" s="84"/>
      <c r="G128" s="84"/>
      <c r="H128" s="35"/>
      <c r="I128" s="35"/>
      <c r="J128" s="35"/>
      <c r="K128" s="35"/>
      <c r="L128" s="35"/>
      <c r="M128" s="35"/>
    </row>
    <row r="129" ht="18" customHeight="1">
      <c r="A129" s="9"/>
      <c r="B129" t="s" s="86">
        <v>145</v>
      </c>
      <c r="C129" s="87"/>
      <c r="D129" s="88"/>
      <c r="E129" s="88"/>
      <c r="F129" s="88"/>
      <c r="G129" s="113"/>
      <c r="H129" s="35"/>
      <c r="I129" s="35"/>
      <c r="J129" s="35"/>
      <c r="K129" s="35"/>
      <c r="L129" s="35"/>
      <c r="M129" s="35"/>
    </row>
    <row r="130" ht="16.5" customHeight="1">
      <c r="A130" s="9"/>
      <c r="B130" s="110"/>
      <c r="C130" s="89"/>
      <c r="D130" t="s" s="90">
        <v>78</v>
      </c>
      <c r="E130" t="s" s="90">
        <v>52</v>
      </c>
      <c r="F130" s="89"/>
      <c r="G130" t="s" s="90">
        <v>53</v>
      </c>
      <c r="H130" s="35"/>
      <c r="I130" s="35"/>
      <c r="J130" s="35"/>
      <c r="K130" s="35"/>
      <c r="L130" s="35"/>
      <c r="M130" s="35"/>
    </row>
    <row r="131" ht="33" customHeight="1">
      <c r="A131" s="9"/>
      <c r="B131" t="s" s="111">
        <v>79</v>
      </c>
      <c r="C131" t="s" s="90">
        <v>54</v>
      </c>
      <c r="D131" s="114">
        <v>12061001385</v>
      </c>
      <c r="E131" t="s" s="90">
        <v>55</v>
      </c>
      <c r="F131" t="s" s="90">
        <v>8</v>
      </c>
      <c r="G131" t="s" s="90">
        <v>109</v>
      </c>
      <c r="H131" s="35"/>
      <c r="I131" s="35"/>
      <c r="J131" s="35"/>
      <c r="K131" s="35"/>
      <c r="L131" s="35"/>
      <c r="M131" s="35"/>
    </row>
    <row r="132" ht="16.5" customHeight="1">
      <c r="A132" s="9"/>
      <c r="B132" t="s" s="111">
        <v>8</v>
      </c>
      <c r="C132" t="s" s="94">
        <v>58</v>
      </c>
      <c r="D132" t="s" s="95">
        <v>8</v>
      </c>
      <c r="E132" s="89"/>
      <c r="F132" t="s" s="96">
        <v>59</v>
      </c>
      <c r="G132" s="97"/>
      <c r="H132" s="34" cm="1">
        <f t="array" ref="H132">F157+G157</f>
        <v>162009.25</v>
      </c>
      <c r="I132" s="35"/>
      <c r="J132" s="35"/>
      <c r="K132" s="35"/>
      <c r="L132" s="35"/>
      <c r="M132" s="35"/>
    </row>
    <row r="133" ht="13.55" customHeight="1">
      <c r="A133" s="9"/>
      <c r="B133" s="112">
        <v>45810</v>
      </c>
      <c r="C133" s="98">
        <v>2082</v>
      </c>
      <c r="D133" t="s" s="80">
        <v>60</v>
      </c>
      <c r="E133" t="s" s="80">
        <v>146</v>
      </c>
      <c r="F133" s="34">
        <v>500</v>
      </c>
      <c r="G133" s="34"/>
      <c r="H133" s="35"/>
      <c r="I133" s="34" cm="1">
        <f t="array" ref="I133">F133</f>
        <v>500</v>
      </c>
      <c r="J133" s="35"/>
      <c r="K133" s="35"/>
      <c r="L133" s="35"/>
      <c r="M133" s="35"/>
    </row>
    <row r="134" ht="13.55" customHeight="1">
      <c r="A134" s="9"/>
      <c r="B134" s="112">
        <v>45812</v>
      </c>
      <c r="C134" s="98"/>
      <c r="D134" t="s" s="80">
        <v>60</v>
      </c>
      <c r="E134" t="s" s="80">
        <v>147</v>
      </c>
      <c r="F134" s="99"/>
      <c r="G134" s="34">
        <v>500</v>
      </c>
      <c r="H134" s="35"/>
      <c r="I134" s="35"/>
      <c r="J134" s="35"/>
      <c r="K134" s="34" cm="1">
        <f t="array" ref="K134">G134</f>
        <v>500</v>
      </c>
      <c r="L134" s="35"/>
      <c r="M134" s="35"/>
    </row>
    <row r="135" ht="13.55" customHeight="1">
      <c r="A135" s="9"/>
      <c r="B135" s="112">
        <v>45813</v>
      </c>
      <c r="C135" s="100"/>
      <c r="D135" t="s" s="80">
        <v>148</v>
      </c>
      <c r="E135" t="s" s="80">
        <v>149</v>
      </c>
      <c r="F135" s="99">
        <v>3309.25</v>
      </c>
      <c r="G135" s="34"/>
      <c r="H135" s="35"/>
      <c r="I135" s="35"/>
      <c r="J135" s="35"/>
      <c r="K135" s="35"/>
      <c r="L135" s="34" cm="1">
        <f t="array" ref="L135">F135</f>
        <v>3309.25</v>
      </c>
      <c r="M135" s="35"/>
    </row>
    <row r="136" ht="13.55" customHeight="1">
      <c r="A136" s="9"/>
      <c r="B136" s="112">
        <v>45818</v>
      </c>
      <c r="C136" s="98"/>
      <c r="D136" t="s" s="80">
        <v>60</v>
      </c>
      <c r="E136" t="s" s="80">
        <v>150</v>
      </c>
      <c r="F136" s="34"/>
      <c r="G136" s="34">
        <v>1000</v>
      </c>
      <c r="H136" s="35"/>
      <c r="I136" s="35"/>
      <c r="J136" s="35"/>
      <c r="K136" s="34" cm="1">
        <f t="array" ref="K136">G136</f>
        <v>1000</v>
      </c>
      <c r="L136" s="35"/>
      <c r="M136" s="35"/>
    </row>
    <row r="137" ht="13.55" customHeight="1">
      <c r="A137" s="9"/>
      <c r="B137" s="112">
        <v>45824</v>
      </c>
      <c r="C137" s="98"/>
      <c r="D137" t="s" s="80">
        <v>99</v>
      </c>
      <c r="E137" t="s" s="80">
        <v>151</v>
      </c>
      <c r="F137" s="34">
        <v>21050</v>
      </c>
      <c r="G137" s="34"/>
      <c r="H137" s="35"/>
      <c r="I137" s="35"/>
      <c r="J137" s="34" cm="1">
        <f t="array" ref="J137">F137</f>
        <v>21050</v>
      </c>
      <c r="K137" s="35"/>
      <c r="L137" s="35"/>
      <c r="M137" s="35"/>
    </row>
    <row r="138" ht="13.55" customHeight="1">
      <c r="A138" s="9"/>
      <c r="B138" s="112">
        <v>45824</v>
      </c>
      <c r="C138" s="98"/>
      <c r="D138" t="s" s="80">
        <v>99</v>
      </c>
      <c r="E138" t="s" s="80">
        <v>151</v>
      </c>
      <c r="F138" s="34">
        <v>45500</v>
      </c>
      <c r="G138" s="34"/>
      <c r="H138" s="35"/>
      <c r="I138" s="35"/>
      <c r="J138" s="34" cm="1">
        <f t="array" ref="J138">F138</f>
        <v>45500</v>
      </c>
      <c r="K138" s="35"/>
      <c r="L138" s="35"/>
      <c r="M138" s="35"/>
    </row>
    <row r="139" ht="13.55" customHeight="1">
      <c r="A139" s="9"/>
      <c r="B139" s="112">
        <v>45824</v>
      </c>
      <c r="C139" s="100"/>
      <c r="D139" t="s" s="80">
        <v>99</v>
      </c>
      <c r="E139" t="s" s="80">
        <v>152</v>
      </c>
      <c r="F139" s="99">
        <v>6500</v>
      </c>
      <c r="G139" s="34"/>
      <c r="H139" s="35"/>
      <c r="I139" s="35"/>
      <c r="J139" s="34" cm="1">
        <f t="array" ref="J139">F139</f>
        <v>6500</v>
      </c>
      <c r="K139" s="35"/>
      <c r="L139" s="35"/>
      <c r="M139" s="35"/>
    </row>
    <row r="140" ht="13.55" customHeight="1">
      <c r="A140" s="9"/>
      <c r="B140" s="112">
        <v>45824</v>
      </c>
      <c r="C140" s="98">
        <v>2194</v>
      </c>
      <c r="D140" t="s" s="80">
        <v>60</v>
      </c>
      <c r="E140" t="s" s="80">
        <v>121</v>
      </c>
      <c r="F140" s="99">
        <v>1000</v>
      </c>
      <c r="G140" s="34"/>
      <c r="H140" s="35"/>
      <c r="I140" s="34" cm="1">
        <f t="array" ref="I140">F140</f>
        <v>1000</v>
      </c>
      <c r="J140" s="35"/>
      <c r="K140" s="35"/>
      <c r="L140" s="35"/>
      <c r="M140" s="35"/>
    </row>
    <row r="141" ht="13.55" customHeight="1">
      <c r="A141" s="9"/>
      <c r="B141" s="112">
        <v>45824</v>
      </c>
      <c r="C141" s="117">
        <v>2195</v>
      </c>
      <c r="D141" t="s" s="80">
        <v>60</v>
      </c>
      <c r="E141" t="s" s="80">
        <v>153</v>
      </c>
      <c r="F141" s="99">
        <v>500</v>
      </c>
      <c r="G141" s="34"/>
      <c r="H141" s="35"/>
      <c r="I141" s="34" cm="1">
        <f t="array" ref="I141">F141</f>
        <v>500</v>
      </c>
      <c r="J141" s="35"/>
      <c r="K141" s="35"/>
      <c r="L141" s="35"/>
      <c r="M141" s="35"/>
    </row>
    <row r="142" ht="13.55" customHeight="1">
      <c r="A142" s="9"/>
      <c r="B142" s="112">
        <v>45824</v>
      </c>
      <c r="C142" s="117">
        <v>2196</v>
      </c>
      <c r="D142" t="s" s="80">
        <v>60</v>
      </c>
      <c r="E142" t="s" s="80">
        <v>154</v>
      </c>
      <c r="F142" s="99">
        <v>500</v>
      </c>
      <c r="G142" s="34"/>
      <c r="H142" s="35"/>
      <c r="I142" s="34" cm="1">
        <f t="array" ref="I142">F142</f>
        <v>500</v>
      </c>
      <c r="J142" s="35"/>
      <c r="K142" s="35"/>
      <c r="L142" s="35"/>
      <c r="M142" s="35"/>
    </row>
    <row r="143" ht="13.55" customHeight="1">
      <c r="A143" s="9"/>
      <c r="B143" s="112">
        <v>45826</v>
      </c>
      <c r="C143" s="98"/>
      <c r="D143" t="s" s="80">
        <v>60</v>
      </c>
      <c r="E143" t="s" s="80">
        <v>155</v>
      </c>
      <c r="F143" s="34"/>
      <c r="G143" s="34">
        <v>500</v>
      </c>
      <c r="H143" s="35"/>
      <c r="I143" s="35"/>
      <c r="J143" s="35"/>
      <c r="K143" s="34" cm="1">
        <f t="array" ref="K143">G143</f>
        <v>500</v>
      </c>
      <c r="L143" s="35"/>
      <c r="M143" s="35"/>
    </row>
    <row r="144" ht="13.55" customHeight="1">
      <c r="A144" s="9"/>
      <c r="B144" s="112">
        <v>45826</v>
      </c>
      <c r="C144" s="98"/>
      <c r="D144" t="s" s="80">
        <v>60</v>
      </c>
      <c r="E144" t="s" s="80">
        <v>112</v>
      </c>
      <c r="F144" s="115"/>
      <c r="G144" s="34">
        <v>500</v>
      </c>
      <c r="H144" s="35"/>
      <c r="I144" s="35"/>
      <c r="J144" s="35"/>
      <c r="K144" s="34" cm="1">
        <f t="array" ref="K144">G144</f>
        <v>500</v>
      </c>
      <c r="L144" s="35"/>
      <c r="M144" s="35"/>
    </row>
    <row r="145" ht="13.55" customHeight="1">
      <c r="A145" s="9"/>
      <c r="B145" s="112">
        <v>45826</v>
      </c>
      <c r="C145" s="98"/>
      <c r="D145" t="s" s="80">
        <v>60</v>
      </c>
      <c r="E145" t="s" s="80">
        <v>156</v>
      </c>
      <c r="F145" s="115"/>
      <c r="G145" s="34">
        <v>200</v>
      </c>
      <c r="H145" s="35"/>
      <c r="I145" s="35"/>
      <c r="J145" s="35"/>
      <c r="K145" s="34" cm="1">
        <f t="array" ref="K145">G145</f>
        <v>200</v>
      </c>
      <c r="L145" s="35"/>
      <c r="M145" s="35"/>
    </row>
    <row r="146" ht="13.55" customHeight="1">
      <c r="A146" s="9"/>
      <c r="B146" s="112">
        <v>45827</v>
      </c>
      <c r="C146" s="98"/>
      <c r="D146" t="s" s="80">
        <v>99</v>
      </c>
      <c r="E146" t="s" s="80">
        <v>157</v>
      </c>
      <c r="F146" s="115">
        <v>1000</v>
      </c>
      <c r="G146" s="34"/>
      <c r="H146" s="35"/>
      <c r="I146" s="35"/>
      <c r="J146" s="34" cm="1">
        <f t="array" ref="J146">F146</f>
        <v>1000</v>
      </c>
      <c r="K146" s="35"/>
      <c r="L146" s="35"/>
      <c r="M146" s="35"/>
    </row>
    <row r="147" ht="13.55" customHeight="1">
      <c r="A147" s="9"/>
      <c r="B147" s="112">
        <v>45827</v>
      </c>
      <c r="C147" s="98"/>
      <c r="D147" t="s" s="80">
        <v>99</v>
      </c>
      <c r="E147" t="s" s="80">
        <v>158</v>
      </c>
      <c r="F147" s="34">
        <v>18350</v>
      </c>
      <c r="G147" s="34"/>
      <c r="H147" s="35"/>
      <c r="I147" s="35"/>
      <c r="J147" s="34" cm="1">
        <f t="array" ref="J147">F147</f>
        <v>18350</v>
      </c>
      <c r="K147" s="35"/>
      <c r="L147" s="35"/>
      <c r="M147" s="35"/>
    </row>
    <row r="148" ht="13.55" customHeight="1">
      <c r="A148" s="9"/>
      <c r="B148" s="112">
        <v>45827</v>
      </c>
      <c r="C148" s="98"/>
      <c r="D148" t="s" s="80">
        <v>99</v>
      </c>
      <c r="E148" t="s" s="80">
        <v>159</v>
      </c>
      <c r="F148" s="34">
        <v>52700</v>
      </c>
      <c r="G148" s="34"/>
      <c r="H148" s="35"/>
      <c r="I148" s="35"/>
      <c r="J148" s="34" cm="1">
        <f t="array" ref="J148">F148</f>
        <v>52700</v>
      </c>
      <c r="K148" s="35"/>
      <c r="L148" s="35"/>
      <c r="M148" s="35"/>
    </row>
    <row r="149" ht="13.55" customHeight="1">
      <c r="A149" s="9"/>
      <c r="B149" s="112">
        <v>45831</v>
      </c>
      <c r="C149" s="98"/>
      <c r="D149" t="s" s="80">
        <v>99</v>
      </c>
      <c r="E149" t="s" s="80">
        <v>160</v>
      </c>
      <c r="F149" s="34">
        <v>500</v>
      </c>
      <c r="G149" s="34"/>
      <c r="H149" s="35"/>
      <c r="I149" s="35"/>
      <c r="J149" s="34" cm="1">
        <f t="array" ref="J149">F149</f>
        <v>500</v>
      </c>
      <c r="K149" s="35"/>
      <c r="L149" s="35"/>
      <c r="M149" s="35"/>
    </row>
    <row r="150" ht="13.55" customHeight="1">
      <c r="A150" s="9"/>
      <c r="B150" s="112">
        <v>45831</v>
      </c>
      <c r="C150" s="98"/>
      <c r="D150" t="s" s="80">
        <v>99</v>
      </c>
      <c r="E150" t="s" s="80">
        <v>160</v>
      </c>
      <c r="F150" s="34">
        <v>2400</v>
      </c>
      <c r="G150" s="34"/>
      <c r="H150" s="35"/>
      <c r="I150" s="35"/>
      <c r="J150" s="34" cm="1">
        <f t="array" ref="J150">F150</f>
        <v>2400</v>
      </c>
      <c r="K150" s="35"/>
      <c r="L150" s="35"/>
      <c r="M150" s="35"/>
    </row>
    <row r="151" ht="13.55" customHeight="1">
      <c r="A151" s="9"/>
      <c r="B151" s="112">
        <v>45831</v>
      </c>
      <c r="C151" s="98"/>
      <c r="D151" t="s" s="80">
        <v>99</v>
      </c>
      <c r="E151" t="s" s="80">
        <v>160</v>
      </c>
      <c r="F151" s="34">
        <v>1500</v>
      </c>
      <c r="G151" s="34"/>
      <c r="H151" s="35"/>
      <c r="I151" s="35"/>
      <c r="J151" s="34" cm="1">
        <f t="array" ref="J151">F151</f>
        <v>1500</v>
      </c>
      <c r="K151" s="35"/>
      <c r="L151" s="35"/>
      <c r="M151" s="35"/>
    </row>
    <row r="152" ht="13.55" customHeight="1">
      <c r="A152" s="9"/>
      <c r="B152" s="112">
        <v>45832</v>
      </c>
      <c r="C152" s="98"/>
      <c r="D152" t="s" s="80">
        <v>60</v>
      </c>
      <c r="E152" t="s" s="80">
        <v>161</v>
      </c>
      <c r="F152" s="34"/>
      <c r="G152" s="34">
        <v>500</v>
      </c>
      <c r="H152" s="35"/>
      <c r="I152" s="35"/>
      <c r="J152" s="35"/>
      <c r="K152" s="34" cm="1">
        <f t="array" ref="K152">G152</f>
        <v>500</v>
      </c>
      <c r="L152" s="35"/>
      <c r="M152" s="35"/>
    </row>
    <row r="153" ht="13.55" customHeight="1">
      <c r="A153" s="9"/>
      <c r="B153" s="112">
        <v>45834</v>
      </c>
      <c r="C153" s="98">
        <v>2200</v>
      </c>
      <c r="D153" t="s" s="80">
        <v>60</v>
      </c>
      <c r="E153" t="s" s="80">
        <v>162</v>
      </c>
      <c r="F153" s="34">
        <v>1500</v>
      </c>
      <c r="G153" s="34"/>
      <c r="H153" s="35"/>
      <c r="I153" s="34" cm="1">
        <f t="array" ref="I153">F153</f>
        <v>1500</v>
      </c>
      <c r="J153" s="35"/>
      <c r="K153" s="35"/>
      <c r="L153" s="35"/>
      <c r="M153" s="35"/>
    </row>
    <row r="154" ht="13.55" customHeight="1">
      <c r="A154" s="9"/>
      <c r="B154" s="112">
        <v>45834</v>
      </c>
      <c r="C154" s="98">
        <v>2201</v>
      </c>
      <c r="D154" t="s" s="80">
        <v>60</v>
      </c>
      <c r="E154" t="s" s="80">
        <v>119</v>
      </c>
      <c r="F154" s="34">
        <v>1500</v>
      </c>
      <c r="G154" s="34"/>
      <c r="H154" s="35"/>
      <c r="I154" s="34" cm="1">
        <f t="array" ref="I154">F154</f>
        <v>1500</v>
      </c>
      <c r="J154" s="35"/>
      <c r="K154" s="35"/>
      <c r="L154" s="35"/>
      <c r="M154" s="35"/>
    </row>
    <row r="155" ht="13.55" customHeight="1">
      <c r="A155" s="9"/>
      <c r="B155" s="112">
        <v>45838</v>
      </c>
      <c r="C155" s="98">
        <v>2216</v>
      </c>
      <c r="D155" t="s" s="80">
        <v>60</v>
      </c>
      <c r="E155" t="s" s="80">
        <v>98</v>
      </c>
      <c r="F155" s="34">
        <v>500</v>
      </c>
      <c r="G155" s="34"/>
      <c r="H155" s="35"/>
      <c r="I155" s="34" cm="1">
        <f t="array" ref="I155">F155</f>
        <v>500</v>
      </c>
      <c r="J155" s="35"/>
      <c r="K155" s="35"/>
      <c r="L155" s="35"/>
      <c r="M155" s="35"/>
    </row>
    <row r="156" ht="13.55" customHeight="1">
      <c r="A156" s="9"/>
      <c r="B156" s="112"/>
      <c r="C156" s="98"/>
      <c r="D156" s="35"/>
      <c r="E156" s="35"/>
      <c r="F156" s="34"/>
      <c r="G156" s="34"/>
      <c r="H156" s="35"/>
      <c r="I156" s="35"/>
      <c r="J156" s="35"/>
      <c r="K156" s="35"/>
      <c r="L156" s="35"/>
      <c r="M156" s="35"/>
    </row>
    <row r="157" ht="13.55" customHeight="1">
      <c r="A157" s="7"/>
      <c r="B157" s="118"/>
      <c r="C157" s="98"/>
      <c r="D157" s="35"/>
      <c r="E157" s="35"/>
      <c r="F157" s="34" cm="1">
        <f t="array" ref="F157">SUM(F133:F156)</f>
        <v>158809.25</v>
      </c>
      <c r="G157" s="34" cm="1">
        <f t="array" ref="G157">SUM(G133:G156)</f>
        <v>3200</v>
      </c>
      <c r="H157" s="106"/>
      <c r="I157" s="99" cm="1">
        <f t="array" ref="I157">SUM(I133:I156)</f>
        <v>6000</v>
      </c>
      <c r="J157" s="99" cm="1">
        <f t="array" ref="J157">SUM(J133:J156)</f>
        <v>149500</v>
      </c>
      <c r="K157" s="99" cm="1">
        <f t="array" ref="K157">SUM(K133:K156)</f>
        <v>3200</v>
      </c>
      <c r="L157" s="99" cm="1">
        <f t="array" ref="L157">SUM(L133:L156)</f>
        <v>3309.25</v>
      </c>
      <c r="M157" s="106"/>
    </row>
    <row r="158" ht="15.75" customHeight="1">
      <c r="A158" s="7"/>
      <c r="B158" s="102"/>
      <c r="C158" s="102"/>
      <c r="D158" s="102"/>
      <c r="E158" s="102"/>
      <c r="F158" s="102"/>
      <c r="G158" s="116"/>
      <c r="H158" s="35"/>
      <c r="I158" s="35"/>
      <c r="J158" s="35"/>
      <c r="K158" s="35"/>
      <c r="L158" s="35"/>
      <c r="M158" s="35"/>
    </row>
    <row r="159" ht="18" customHeight="1">
      <c r="A159" s="9"/>
      <c r="B159" t="s" s="107">
        <v>77</v>
      </c>
      <c r="C159" s="108"/>
      <c r="D159" s="85"/>
      <c r="E159" s="84"/>
      <c r="F159" s="84"/>
      <c r="G159" s="84"/>
      <c r="H159" s="35"/>
      <c r="I159" s="35"/>
      <c r="J159" s="35"/>
      <c r="K159" s="35"/>
      <c r="L159" s="35"/>
      <c r="M159" s="35"/>
    </row>
    <row r="160" ht="18" customHeight="1">
      <c r="A160" s="9"/>
      <c r="B160" t="s" s="86">
        <v>163</v>
      </c>
      <c r="C160" s="87"/>
      <c r="D160" s="88"/>
      <c r="E160" s="88"/>
      <c r="F160" s="88"/>
      <c r="G160" s="113"/>
      <c r="H160" s="35"/>
      <c r="I160" s="35"/>
      <c r="J160" s="35"/>
      <c r="K160" s="35"/>
      <c r="L160" s="35"/>
      <c r="M160" s="35"/>
    </row>
    <row r="161" ht="16.5" customHeight="1">
      <c r="A161" s="9"/>
      <c r="B161" s="110"/>
      <c r="C161" s="89"/>
      <c r="D161" t="s" s="90">
        <v>78</v>
      </c>
      <c r="E161" t="s" s="90">
        <v>52</v>
      </c>
      <c r="F161" s="89"/>
      <c r="G161" t="s" s="90">
        <v>53</v>
      </c>
      <c r="H161" s="35"/>
      <c r="I161" s="35"/>
      <c r="J161" s="35"/>
      <c r="K161" s="35"/>
      <c r="L161" s="35"/>
      <c r="M161" s="35"/>
    </row>
    <row r="162" ht="33" customHeight="1">
      <c r="A162" s="9"/>
      <c r="B162" t="s" s="111">
        <v>79</v>
      </c>
      <c r="C162" t="s" s="90">
        <v>54</v>
      </c>
      <c r="D162" s="114">
        <v>12061001385</v>
      </c>
      <c r="E162" t="s" s="90">
        <v>55</v>
      </c>
      <c r="F162" t="s" s="90">
        <v>8</v>
      </c>
      <c r="G162" t="s" s="90">
        <v>8</v>
      </c>
      <c r="H162" s="35"/>
      <c r="I162" s="35"/>
      <c r="J162" s="35"/>
      <c r="K162" s="35"/>
      <c r="L162" s="35"/>
      <c r="M162" s="35"/>
    </row>
    <row r="163" ht="16.5" customHeight="1">
      <c r="A163" s="9"/>
      <c r="B163" t="s" s="111">
        <v>8</v>
      </c>
      <c r="C163" t="s" s="94">
        <v>58</v>
      </c>
      <c r="D163" t="s" s="95">
        <v>8</v>
      </c>
      <c r="E163" s="89"/>
      <c r="F163" t="s" s="96">
        <v>59</v>
      </c>
      <c r="G163" t="s" s="90">
        <v>57</v>
      </c>
      <c r="H163" s="34" cm="1">
        <f t="array" ref="H163">G183+F183</f>
        <v>183200</v>
      </c>
      <c r="I163" s="35"/>
      <c r="J163" s="35"/>
      <c r="K163" s="35"/>
      <c r="L163" s="35"/>
      <c r="M163" s="35"/>
    </row>
    <row r="164" ht="13.55" customHeight="1">
      <c r="A164" s="9"/>
      <c r="B164" s="112">
        <v>45839</v>
      </c>
      <c r="C164" s="98"/>
      <c r="D164" t="s" s="80">
        <v>60</v>
      </c>
      <c r="E164" t="s" s="80">
        <v>164</v>
      </c>
      <c r="F164" s="34"/>
      <c r="G164" s="34">
        <v>500</v>
      </c>
      <c r="H164" s="35"/>
      <c r="I164" s="34" cm="1">
        <f t="array" ref="I164">G164</f>
        <v>500</v>
      </c>
      <c r="J164" s="35"/>
      <c r="K164" s="35"/>
      <c r="L164" s="35"/>
      <c r="M164" s="35"/>
    </row>
    <row r="165" ht="13.55" customHeight="1">
      <c r="A165" s="9"/>
      <c r="B165" s="112">
        <v>45841</v>
      </c>
      <c r="C165" s="98">
        <v>2224</v>
      </c>
      <c r="D165" t="s" s="80">
        <v>60</v>
      </c>
      <c r="E165" t="s" s="80">
        <v>165</v>
      </c>
      <c r="F165" s="99">
        <v>500</v>
      </c>
      <c r="G165" s="34"/>
      <c r="H165" s="35"/>
      <c r="I165" s="34" cm="1">
        <f t="array" ref="I165">F165</f>
        <v>500</v>
      </c>
      <c r="J165" s="35"/>
      <c r="K165" s="35"/>
      <c r="L165" s="35"/>
      <c r="M165" s="35"/>
    </row>
    <row r="166" ht="13.55" customHeight="1">
      <c r="A166" s="9"/>
      <c r="B166" s="112">
        <v>45845</v>
      </c>
      <c r="C166" s="117">
        <v>2226</v>
      </c>
      <c r="D166" t="s" s="80">
        <v>60</v>
      </c>
      <c r="E166" t="s" s="80">
        <v>117</v>
      </c>
      <c r="F166" s="99">
        <v>1000</v>
      </c>
      <c r="G166" s="34"/>
      <c r="H166" s="35"/>
      <c r="I166" s="34" cm="1">
        <f t="array" ref="I166">F166</f>
        <v>1000</v>
      </c>
      <c r="J166" s="35"/>
      <c r="K166" s="35"/>
      <c r="L166" s="35"/>
      <c r="M166" s="35"/>
    </row>
    <row r="167" ht="13.55" customHeight="1">
      <c r="A167" s="9"/>
      <c r="B167" s="112">
        <v>45846</v>
      </c>
      <c r="C167" s="98"/>
      <c r="D167" t="s" s="80">
        <v>60</v>
      </c>
      <c r="E167" t="s" s="80">
        <v>166</v>
      </c>
      <c r="F167" s="34"/>
      <c r="G167" s="34">
        <v>2000</v>
      </c>
      <c r="H167" s="35"/>
      <c r="I167" s="35"/>
      <c r="J167" s="35"/>
      <c r="K167" s="34" cm="1">
        <f t="array" ref="K167">G167</f>
        <v>2000</v>
      </c>
      <c r="L167" s="35"/>
      <c r="M167" s="35"/>
    </row>
    <row r="168" ht="13.55" customHeight="1">
      <c r="A168" s="9"/>
      <c r="B168" s="112">
        <v>45846</v>
      </c>
      <c r="C168" s="98"/>
      <c r="D168" t="s" s="80">
        <v>60</v>
      </c>
      <c r="E168" t="s" s="80">
        <v>164</v>
      </c>
      <c r="F168" s="34"/>
      <c r="G168" s="34">
        <v>250</v>
      </c>
      <c r="H168" s="35"/>
      <c r="I168" s="35"/>
      <c r="J168" s="35"/>
      <c r="K168" s="34" cm="1">
        <f t="array" ref="K168">G168</f>
        <v>250</v>
      </c>
      <c r="L168" s="35"/>
      <c r="M168" s="35"/>
    </row>
    <row r="169" ht="13.55" customHeight="1">
      <c r="A169" s="9"/>
      <c r="B169" s="112">
        <v>45853</v>
      </c>
      <c r="C169" s="98"/>
      <c r="D169" t="s" s="80">
        <v>99</v>
      </c>
      <c r="E169" t="s" s="80">
        <v>167</v>
      </c>
      <c r="F169" s="34">
        <v>50700</v>
      </c>
      <c r="G169" s="34"/>
      <c r="H169" s="35"/>
      <c r="I169" s="35"/>
      <c r="J169" s="34" cm="1">
        <f t="array" ref="J169">F169</f>
        <v>50700</v>
      </c>
      <c r="K169" s="35"/>
      <c r="L169" s="35"/>
      <c r="M169" s="35"/>
    </row>
    <row r="170" ht="13.55" customHeight="1">
      <c r="A170" s="9"/>
      <c r="B170" s="112">
        <v>45853</v>
      </c>
      <c r="C170" s="100"/>
      <c r="D170" t="s" s="80">
        <v>99</v>
      </c>
      <c r="E170" t="s" s="80">
        <v>62</v>
      </c>
      <c r="F170" s="99">
        <v>7700</v>
      </c>
      <c r="G170" s="34"/>
      <c r="H170" s="35"/>
      <c r="I170" s="35"/>
      <c r="J170" s="34" cm="1">
        <f t="array" ref="J170">F170</f>
        <v>7700</v>
      </c>
      <c r="K170" s="35"/>
      <c r="L170" s="35"/>
      <c r="M170" s="35"/>
    </row>
    <row r="171" ht="13.55" customHeight="1">
      <c r="A171" s="9"/>
      <c r="B171" s="112">
        <v>45853</v>
      </c>
      <c r="C171" s="98"/>
      <c r="D171" t="s" s="80">
        <v>99</v>
      </c>
      <c r="E171" t="s" s="80">
        <v>100</v>
      </c>
      <c r="F171" s="99">
        <v>20550</v>
      </c>
      <c r="G171" s="34"/>
      <c r="H171" s="35"/>
      <c r="I171" s="35"/>
      <c r="J171" s="34" cm="1">
        <f t="array" ref="J171">F171</f>
        <v>20550</v>
      </c>
      <c r="K171" s="35"/>
      <c r="L171" s="35"/>
      <c r="M171" s="35"/>
    </row>
    <row r="172" ht="13.55" customHeight="1">
      <c r="A172" s="9"/>
      <c r="B172" s="112">
        <v>45853</v>
      </c>
      <c r="C172" s="18"/>
      <c r="D172" t="s" s="80">
        <v>99</v>
      </c>
      <c r="E172" t="s" s="80">
        <v>168</v>
      </c>
      <c r="F172" s="99">
        <v>92800</v>
      </c>
      <c r="G172" s="34"/>
      <c r="H172" s="35"/>
      <c r="I172" s="35"/>
      <c r="J172" s="34" cm="1">
        <f t="array" ref="J172">F172</f>
        <v>92800</v>
      </c>
      <c r="K172" s="35"/>
      <c r="L172" s="35"/>
      <c r="M172" s="35"/>
    </row>
    <row r="173" ht="13.55" customHeight="1">
      <c r="A173" s="9"/>
      <c r="B173" s="112">
        <v>45853</v>
      </c>
      <c r="C173" s="18"/>
      <c r="D173" t="s" s="80">
        <v>60</v>
      </c>
      <c r="E173" t="s" s="80">
        <v>169</v>
      </c>
      <c r="F173" s="99"/>
      <c r="G173" s="34">
        <v>1500</v>
      </c>
      <c r="H173" s="35"/>
      <c r="I173" s="35"/>
      <c r="J173" s="35"/>
      <c r="K173" s="34" cm="1">
        <f t="array" ref="K173">G173</f>
        <v>1500</v>
      </c>
      <c r="L173" s="35"/>
      <c r="M173" s="35"/>
    </row>
    <row r="174" ht="13.55" customHeight="1">
      <c r="A174" s="9"/>
      <c r="B174" s="112">
        <v>45853</v>
      </c>
      <c r="C174" s="98"/>
      <c r="D174" t="s" s="80">
        <v>60</v>
      </c>
      <c r="E174" t="s" s="80">
        <v>112</v>
      </c>
      <c r="F174" s="34"/>
      <c r="G174" s="34">
        <v>500</v>
      </c>
      <c r="H174" s="35"/>
      <c r="I174" s="35"/>
      <c r="J174" s="35"/>
      <c r="K174" s="34" cm="1">
        <f t="array" ref="K174">G174</f>
        <v>500</v>
      </c>
      <c r="L174" s="35"/>
      <c r="M174" s="35"/>
    </row>
    <row r="175" ht="13.55" customHeight="1">
      <c r="A175" s="9"/>
      <c r="B175" s="112">
        <v>45855</v>
      </c>
      <c r="C175" s="98"/>
      <c r="D175" t="s" s="80">
        <v>99</v>
      </c>
      <c r="E175" t="s" s="80">
        <v>167</v>
      </c>
      <c r="F175" s="115">
        <v>1200</v>
      </c>
      <c r="G175" s="34"/>
      <c r="H175" s="35"/>
      <c r="I175" s="34" cm="1">
        <f t="array" ref="I175">F175</f>
        <v>1200</v>
      </c>
      <c r="J175" s="35"/>
      <c r="K175" s="35"/>
      <c r="L175" s="35"/>
      <c r="M175" s="35"/>
    </row>
    <row r="176" ht="13.55" customHeight="1">
      <c r="A176" s="9"/>
      <c r="B176" s="112">
        <v>45855</v>
      </c>
      <c r="C176" s="98">
        <v>2335</v>
      </c>
      <c r="D176" t="s" s="80">
        <v>60</v>
      </c>
      <c r="E176" t="s" s="80">
        <v>140</v>
      </c>
      <c r="F176" s="115">
        <v>500</v>
      </c>
      <c r="G176" s="34"/>
      <c r="H176" s="35"/>
      <c r="I176" s="34" cm="1">
        <f t="array" ref="I176">F176</f>
        <v>500</v>
      </c>
      <c r="J176" s="35"/>
      <c r="K176" s="35"/>
      <c r="L176" s="35"/>
      <c r="M176" s="35"/>
    </row>
    <row r="177" ht="13.55" customHeight="1">
      <c r="A177" s="9"/>
      <c r="B177" s="112">
        <v>45856</v>
      </c>
      <c r="C177" s="98">
        <v>2334</v>
      </c>
      <c r="D177" t="s" s="80">
        <v>60</v>
      </c>
      <c r="E177" t="s" s="80">
        <v>154</v>
      </c>
      <c r="F177" s="115">
        <v>500</v>
      </c>
      <c r="G177" s="34"/>
      <c r="H177" s="35"/>
      <c r="I177" s="34" cm="1">
        <f t="array" ref="I177">F177</f>
        <v>500</v>
      </c>
      <c r="J177" s="35"/>
      <c r="K177" s="35"/>
      <c r="L177" s="35"/>
      <c r="M177" s="35"/>
    </row>
    <row r="178" ht="13.55" customHeight="1">
      <c r="A178" s="9"/>
      <c r="B178" s="112">
        <v>45856</v>
      </c>
      <c r="C178" s="98">
        <v>2333</v>
      </c>
      <c r="D178" t="s" s="80">
        <v>60</v>
      </c>
      <c r="E178" t="s" s="80">
        <v>143</v>
      </c>
      <c r="F178" s="34">
        <v>1500</v>
      </c>
      <c r="G178" s="34"/>
      <c r="H178" s="35"/>
      <c r="I178" s="34" cm="1">
        <f t="array" ref="I178">F178</f>
        <v>1500</v>
      </c>
      <c r="J178" s="35"/>
      <c r="K178" s="35"/>
      <c r="L178" s="35"/>
      <c r="M178" s="35"/>
    </row>
    <row r="179" ht="13.55" customHeight="1">
      <c r="A179" s="9"/>
      <c r="B179" s="112">
        <v>45856</v>
      </c>
      <c r="C179" s="98">
        <v>2332</v>
      </c>
      <c r="D179" t="s" s="80">
        <v>60</v>
      </c>
      <c r="E179" t="s" s="80">
        <v>104</v>
      </c>
      <c r="F179" s="34">
        <v>1500</v>
      </c>
      <c r="G179" s="34"/>
      <c r="H179" s="35"/>
      <c r="I179" s="34" cm="1">
        <f t="array" ref="I179">F179</f>
        <v>1500</v>
      </c>
      <c r="J179" s="35"/>
      <c r="K179" s="35"/>
      <c r="L179" s="35"/>
      <c r="M179" s="35"/>
    </row>
    <row r="180" ht="13.55" customHeight="1">
      <c r="A180" s="9"/>
      <c r="B180" s="112"/>
      <c r="C180" s="98"/>
      <c r="D180" s="35"/>
      <c r="E180" s="35"/>
      <c r="F180" s="34"/>
      <c r="G180" s="34"/>
      <c r="H180" s="35"/>
      <c r="I180" s="35"/>
      <c r="J180" s="35"/>
      <c r="K180" s="35"/>
      <c r="L180" s="35"/>
      <c r="M180" s="35"/>
    </row>
    <row r="181" ht="13.55" customHeight="1">
      <c r="A181" s="9"/>
      <c r="B181" s="112"/>
      <c r="C181" s="98"/>
      <c r="D181" s="35"/>
      <c r="E181" s="35"/>
      <c r="F181" s="34"/>
      <c r="G181" s="34"/>
      <c r="H181" s="35"/>
      <c r="I181" s="35"/>
      <c r="J181" s="35"/>
      <c r="K181" s="35"/>
      <c r="L181" s="35"/>
      <c r="M181" s="35"/>
    </row>
    <row r="182" ht="13.55" customHeight="1">
      <c r="A182" s="9"/>
      <c r="B182" s="112"/>
      <c r="C182" s="98"/>
      <c r="D182" s="35"/>
      <c r="E182" s="35"/>
      <c r="F182" s="34"/>
      <c r="G182" s="34"/>
      <c r="H182" s="35"/>
      <c r="I182" s="35"/>
      <c r="J182" s="35"/>
      <c r="K182" s="35"/>
      <c r="L182" s="35"/>
      <c r="M182" s="35"/>
    </row>
    <row r="183" ht="13.55" customHeight="1">
      <c r="A183" s="9"/>
      <c r="B183" s="112"/>
      <c r="C183" s="98"/>
      <c r="D183" s="35"/>
      <c r="E183" s="35"/>
      <c r="F183" s="34" cm="1">
        <f t="array" ref="F183">SUM(F164:F182)</f>
        <v>178450</v>
      </c>
      <c r="G183" s="34" cm="1">
        <f t="array" ref="G183">SUM(G164:G182)</f>
        <v>4750</v>
      </c>
      <c r="H183" s="106"/>
      <c r="I183" s="99" cm="1">
        <f t="array" ref="I183">SUM(I164:I182)</f>
        <v>7200</v>
      </c>
      <c r="J183" s="99" cm="1">
        <f t="array" ref="J183">SUM(J164:J182)</f>
        <v>171750</v>
      </c>
      <c r="K183" s="99" cm="1">
        <f t="array" ref="K183">SUM(K164:K182)</f>
        <v>4250</v>
      </c>
      <c r="L183" s="99" cm="1">
        <f t="array" ref="L183">SUM(L164:L182)</f>
        <v>0</v>
      </c>
      <c r="M183" s="106"/>
    </row>
    <row r="184" ht="13.55" customHeight="1">
      <c r="A184" s="9"/>
      <c r="B184" s="112"/>
      <c r="C184" s="98"/>
      <c r="D184" s="35"/>
      <c r="E184" s="35"/>
      <c r="F184" s="34"/>
      <c r="G184" t="s" s="80">
        <v>8</v>
      </c>
      <c r="H184" s="35"/>
      <c r="I184" s="35"/>
      <c r="J184" s="35"/>
      <c r="K184" s="35"/>
      <c r="L184" s="35"/>
      <c r="M184" s="35"/>
    </row>
    <row r="185" ht="13.55" customHeight="1">
      <c r="A185" s="9"/>
      <c r="B185" s="112"/>
      <c r="C185" s="98"/>
      <c r="D185" s="35"/>
      <c r="E185" s="35"/>
      <c r="F185" s="34"/>
      <c r="G185" s="34"/>
      <c r="H185" s="35"/>
      <c r="I185" s="35"/>
      <c r="J185" s="35"/>
      <c r="K185" s="35"/>
      <c r="L185" s="35"/>
      <c r="M185" s="35"/>
    </row>
    <row r="186" ht="15.75" customHeight="1">
      <c r="A186" s="7"/>
      <c r="B186" s="102"/>
      <c r="C186" s="102"/>
      <c r="D186" s="102"/>
      <c r="E186" s="102"/>
      <c r="F186" s="102"/>
      <c r="G186" s="116"/>
      <c r="H186" s="35"/>
      <c r="I186" s="35"/>
      <c r="J186" s="35"/>
      <c r="K186" s="35"/>
      <c r="L186" s="35"/>
      <c r="M186" s="35"/>
    </row>
    <row r="187" ht="18" customHeight="1">
      <c r="A187" s="9"/>
      <c r="B187" t="s" s="107">
        <v>77</v>
      </c>
      <c r="C187" s="108"/>
      <c r="D187" s="85"/>
      <c r="E187" s="84"/>
      <c r="F187" s="84"/>
      <c r="G187" s="84"/>
      <c r="H187" s="35"/>
      <c r="I187" s="35"/>
      <c r="J187" s="35"/>
      <c r="K187" s="35"/>
      <c r="L187" s="35"/>
      <c r="M187" s="35"/>
    </row>
    <row r="188" ht="18" customHeight="1">
      <c r="A188" s="9"/>
      <c r="B188" t="s" s="86">
        <v>170</v>
      </c>
      <c r="C188" s="87"/>
      <c r="D188" s="88"/>
      <c r="E188" s="88"/>
      <c r="F188" s="88"/>
      <c r="G188" s="113"/>
      <c r="H188" s="35"/>
      <c r="I188" s="35"/>
      <c r="J188" s="35"/>
      <c r="K188" s="35"/>
      <c r="L188" s="35"/>
      <c r="M188" s="35"/>
    </row>
    <row r="189" ht="16.5" customHeight="1">
      <c r="A189" s="9"/>
      <c r="B189" s="110"/>
      <c r="C189" s="89"/>
      <c r="D189" t="s" s="90">
        <v>78</v>
      </c>
      <c r="E189" t="s" s="90">
        <v>52</v>
      </c>
      <c r="F189" s="89"/>
      <c r="G189" t="s" s="90">
        <v>53</v>
      </c>
      <c r="H189" s="35"/>
      <c r="I189" s="35"/>
      <c r="J189" s="35"/>
      <c r="K189" s="35"/>
      <c r="L189" s="35"/>
      <c r="M189" s="35"/>
    </row>
    <row r="190" ht="33" customHeight="1">
      <c r="A190" s="9"/>
      <c r="B190" t="s" s="111">
        <v>79</v>
      </c>
      <c r="C190" t="s" s="90">
        <v>54</v>
      </c>
      <c r="D190" s="114">
        <v>12061001385</v>
      </c>
      <c r="E190" t="s" s="90">
        <v>55</v>
      </c>
      <c r="F190" t="s" s="90">
        <v>8</v>
      </c>
      <c r="G190" t="s" s="90">
        <v>8</v>
      </c>
      <c r="H190" s="35"/>
      <c r="I190" s="35"/>
      <c r="J190" s="35"/>
      <c r="K190" s="35"/>
      <c r="L190" s="35"/>
      <c r="M190" s="35"/>
    </row>
    <row r="191" ht="16.5" customHeight="1">
      <c r="A191" s="9"/>
      <c r="B191" t="s" s="111">
        <v>8</v>
      </c>
      <c r="C191" t="s" s="94">
        <v>58</v>
      </c>
      <c r="D191" t="s" s="95">
        <v>8</v>
      </c>
      <c r="E191" s="89"/>
      <c r="F191" t="s" s="96">
        <v>59</v>
      </c>
      <c r="G191" t="s" s="90">
        <v>57</v>
      </c>
      <c r="H191" s="34" cm="1">
        <f t="array" ref="H191">G209+F209</f>
        <v>105856.84</v>
      </c>
      <c r="I191" s="35"/>
      <c r="J191" s="35"/>
      <c r="K191" s="35"/>
      <c r="L191" s="35"/>
      <c r="M191" s="35"/>
    </row>
    <row r="192" ht="13.55" customHeight="1">
      <c r="A192" s="9"/>
      <c r="B192" s="112">
        <v>45870</v>
      </c>
      <c r="C192" s="98">
        <v>2342</v>
      </c>
      <c r="D192" t="s" s="80">
        <v>60</v>
      </c>
      <c r="E192" t="s" s="80">
        <v>165</v>
      </c>
      <c r="F192" s="34">
        <v>500</v>
      </c>
      <c r="G192" s="34"/>
      <c r="H192" s="35"/>
      <c r="I192" s="34" cm="1">
        <f t="array" ref="I192">F192</f>
        <v>500</v>
      </c>
      <c r="J192" s="35"/>
      <c r="K192" s="35"/>
      <c r="L192" s="35"/>
      <c r="M192" s="35"/>
    </row>
    <row r="193" ht="13.55" customHeight="1">
      <c r="A193" s="9"/>
      <c r="B193" s="112">
        <v>45870</v>
      </c>
      <c r="C193" s="98">
        <v>2343</v>
      </c>
      <c r="D193" t="s" s="80">
        <v>60</v>
      </c>
      <c r="E193" t="s" s="80">
        <v>98</v>
      </c>
      <c r="F193" s="34">
        <v>500</v>
      </c>
      <c r="G193" s="34"/>
      <c r="H193" s="35"/>
      <c r="I193" s="34" cm="1">
        <f t="array" ref="I193">F193</f>
        <v>500</v>
      </c>
      <c r="J193" s="35"/>
      <c r="K193" s="35"/>
      <c r="L193" s="35"/>
      <c r="M193" s="35"/>
    </row>
    <row r="194" ht="13.55" customHeight="1">
      <c r="A194" s="9"/>
      <c r="B194" s="112">
        <v>45876</v>
      </c>
      <c r="C194" s="18"/>
      <c r="D194" t="s" s="80">
        <v>60</v>
      </c>
      <c r="E194" t="s" s="80">
        <v>171</v>
      </c>
      <c r="F194" s="34"/>
      <c r="G194" s="34">
        <v>500</v>
      </c>
      <c r="H194" s="35"/>
      <c r="I194" s="35"/>
      <c r="J194" s="35"/>
      <c r="K194" s="34" cm="1">
        <f t="array" ref="K194">G194</f>
        <v>500</v>
      </c>
      <c r="L194" t="s" s="80">
        <v>8</v>
      </c>
      <c r="M194" s="35"/>
    </row>
    <row r="195" ht="13.55" customHeight="1">
      <c r="A195" s="9"/>
      <c r="B195" s="112">
        <v>45880</v>
      </c>
      <c r="C195" s="98"/>
      <c r="D195" t="s" s="80">
        <v>99</v>
      </c>
      <c r="E195" t="s" s="80">
        <v>172</v>
      </c>
      <c r="F195" s="34">
        <v>10178.42</v>
      </c>
      <c r="G195" s="34"/>
      <c r="H195" s="35"/>
      <c r="I195" s="35"/>
      <c r="J195" s="35"/>
      <c r="K195" s="35"/>
      <c r="L195" s="34" cm="1">
        <f t="array" ref="L195">F195</f>
        <v>10178.42</v>
      </c>
      <c r="M195" s="35"/>
    </row>
    <row r="196" ht="13.55" customHeight="1">
      <c r="A196" s="9"/>
      <c r="B196" s="112">
        <v>45883</v>
      </c>
      <c r="C196" s="98"/>
      <c r="D196" t="s" s="80">
        <v>99</v>
      </c>
      <c r="E196" t="s" s="80">
        <v>167</v>
      </c>
      <c r="F196" s="34">
        <v>50250</v>
      </c>
      <c r="G196" s="34"/>
      <c r="H196" s="35"/>
      <c r="I196" s="35"/>
      <c r="J196" s="35"/>
      <c r="K196" s="34" cm="1">
        <f t="array" ref="K196">F196</f>
        <v>50250</v>
      </c>
      <c r="L196" s="35"/>
      <c r="M196" s="35"/>
    </row>
    <row r="197" ht="13.55" customHeight="1">
      <c r="A197" s="9"/>
      <c r="B197" s="112">
        <v>45884</v>
      </c>
      <c r="C197" s="98"/>
      <c r="D197" t="s" s="80">
        <v>99</v>
      </c>
      <c r="E197" t="s" s="80">
        <v>173</v>
      </c>
      <c r="F197" s="34">
        <v>7700</v>
      </c>
      <c r="G197" s="34"/>
      <c r="H197" s="35"/>
      <c r="I197" s="35"/>
      <c r="J197" s="35"/>
      <c r="K197" s="34" cm="1">
        <f t="array" ref="K197">F197</f>
        <v>7700</v>
      </c>
      <c r="L197" s="35"/>
      <c r="M197" s="35"/>
    </row>
    <row r="198" ht="13.55" customHeight="1">
      <c r="A198" s="9"/>
      <c r="B198" s="112">
        <v>45884</v>
      </c>
      <c r="C198" s="100"/>
      <c r="D198" t="s" s="80">
        <v>99</v>
      </c>
      <c r="E198" t="s" s="80">
        <v>100</v>
      </c>
      <c r="F198" s="34">
        <v>19550</v>
      </c>
      <c r="G198" s="34"/>
      <c r="H198" s="35"/>
      <c r="I198" s="35"/>
      <c r="J198" s="35"/>
      <c r="K198" s="34" cm="1">
        <f t="array" ref="K198">F198</f>
        <v>19550</v>
      </c>
      <c r="L198" s="35"/>
      <c r="M198" s="35"/>
    </row>
    <row r="199" ht="13.55" customHeight="1">
      <c r="A199" s="9"/>
      <c r="B199" s="112">
        <v>45884</v>
      </c>
      <c r="C199" s="98">
        <v>2461</v>
      </c>
      <c r="D199" t="s" s="80">
        <v>60</v>
      </c>
      <c r="E199" t="s" s="80">
        <v>153</v>
      </c>
      <c r="F199" s="34">
        <v>500</v>
      </c>
      <c r="G199" s="34"/>
      <c r="H199" s="35"/>
      <c r="I199" s="34" cm="1">
        <f t="array" ref="I199">F199</f>
        <v>500</v>
      </c>
      <c r="J199" s="35"/>
      <c r="K199" s="35"/>
      <c r="L199" s="35"/>
      <c r="M199" s="35"/>
    </row>
    <row r="200" ht="13.55" customHeight="1">
      <c r="A200" s="9"/>
      <c r="B200" s="112">
        <v>45887</v>
      </c>
      <c r="C200" s="18"/>
      <c r="D200" t="s" s="80">
        <v>99</v>
      </c>
      <c r="E200" t="s" s="80">
        <v>172</v>
      </c>
      <c r="F200" s="34">
        <v>10178.42</v>
      </c>
      <c r="G200" s="34"/>
      <c r="H200" s="35"/>
      <c r="I200" s="35"/>
      <c r="J200" s="35"/>
      <c r="K200" s="35"/>
      <c r="L200" s="34" cm="1">
        <f t="array" ref="L200">F200</f>
        <v>10178.42</v>
      </c>
      <c r="M200" s="35"/>
    </row>
    <row r="201" ht="13.55" customHeight="1">
      <c r="A201" s="9"/>
      <c r="B201" s="112">
        <v>45887</v>
      </c>
      <c r="C201" s="117">
        <v>2344</v>
      </c>
      <c r="D201" t="s" s="80">
        <v>60</v>
      </c>
      <c r="E201" t="s" s="80">
        <v>119</v>
      </c>
      <c r="F201" s="34">
        <v>1500</v>
      </c>
      <c r="G201" s="34"/>
      <c r="H201" s="35"/>
      <c r="I201" s="34" cm="1">
        <f t="array" ref="I201">F201</f>
        <v>1500</v>
      </c>
      <c r="J201" s="35"/>
      <c r="K201" s="35"/>
      <c r="L201" s="35"/>
      <c r="M201" s="35"/>
    </row>
    <row r="202" ht="13.55" customHeight="1">
      <c r="A202" s="9"/>
      <c r="B202" s="112">
        <v>45887</v>
      </c>
      <c r="C202" s="98">
        <v>2345</v>
      </c>
      <c r="D202" t="s" s="80">
        <v>60</v>
      </c>
      <c r="E202" t="s" s="80">
        <v>162</v>
      </c>
      <c r="F202" s="34">
        <v>1500</v>
      </c>
      <c r="G202" s="34"/>
      <c r="H202" s="35"/>
      <c r="I202" s="34" cm="1">
        <f t="array" ref="I202">F202</f>
        <v>1500</v>
      </c>
      <c r="J202" s="35"/>
      <c r="K202" s="35"/>
      <c r="L202" s="35"/>
      <c r="M202" s="35"/>
    </row>
    <row r="203" ht="13.55" customHeight="1">
      <c r="A203" s="9"/>
      <c r="B203" s="112">
        <v>45887</v>
      </c>
      <c r="C203" s="98">
        <v>2346</v>
      </c>
      <c r="D203" t="s" s="80">
        <v>60</v>
      </c>
      <c r="E203" t="s" s="80">
        <v>121</v>
      </c>
      <c r="F203" s="34">
        <v>1000</v>
      </c>
      <c r="G203" s="34"/>
      <c r="H203" s="35"/>
      <c r="I203" s="34" cm="1">
        <f t="array" ref="I203">F203</f>
        <v>1000</v>
      </c>
      <c r="J203" s="35"/>
      <c r="K203" s="35"/>
      <c r="L203" s="35"/>
      <c r="M203" s="35"/>
    </row>
    <row r="204" ht="13.55" customHeight="1">
      <c r="A204" s="9"/>
      <c r="B204" s="112">
        <v>45887</v>
      </c>
      <c r="C204" s="98">
        <v>2347</v>
      </c>
      <c r="D204" t="s" s="80">
        <v>60</v>
      </c>
      <c r="E204" t="s" s="80">
        <v>117</v>
      </c>
      <c r="F204" s="34">
        <v>500</v>
      </c>
      <c r="G204" s="34"/>
      <c r="H204" s="35"/>
      <c r="I204" s="34" cm="1">
        <f t="array" ref="I204">F204</f>
        <v>500</v>
      </c>
      <c r="J204" s="35"/>
      <c r="K204" s="35"/>
      <c r="L204" s="35"/>
      <c r="M204" s="35"/>
    </row>
    <row r="205" ht="13.55" customHeight="1">
      <c r="A205" s="9"/>
      <c r="B205" s="112">
        <v>45887</v>
      </c>
      <c r="C205" s="98">
        <v>2348</v>
      </c>
      <c r="D205" t="s" s="80">
        <v>60</v>
      </c>
      <c r="E205" t="s" s="80">
        <v>133</v>
      </c>
      <c r="F205" s="34">
        <v>500</v>
      </c>
      <c r="G205" s="34"/>
      <c r="H205" s="35"/>
      <c r="I205" s="34" cm="1">
        <f t="array" ref="I205">F205</f>
        <v>500</v>
      </c>
      <c r="J205" s="35"/>
      <c r="K205" s="35"/>
      <c r="L205" s="35"/>
      <c r="M205" s="35"/>
    </row>
    <row r="206" ht="13.55" customHeight="1">
      <c r="A206" s="9"/>
      <c r="B206" s="112">
        <v>45894</v>
      </c>
      <c r="C206" s="98"/>
      <c r="D206" t="s" s="80">
        <v>60</v>
      </c>
      <c r="E206" t="s" s="80">
        <v>167</v>
      </c>
      <c r="F206" s="34">
        <v>500</v>
      </c>
      <c r="G206" s="34"/>
      <c r="H206" s="35"/>
      <c r="I206" s="35"/>
      <c r="J206" s="34" cm="1">
        <f t="array" ref="J206">F206</f>
        <v>500</v>
      </c>
      <c r="K206" s="35"/>
      <c r="L206" s="35"/>
      <c r="M206" s="35"/>
    </row>
    <row r="207" ht="13.55" customHeight="1">
      <c r="A207" s="9"/>
      <c r="B207" s="112">
        <v>45894</v>
      </c>
      <c r="C207" s="98"/>
      <c r="D207" t="s" s="80">
        <v>60</v>
      </c>
      <c r="E207" t="s" s="80">
        <v>62</v>
      </c>
      <c r="F207" s="34">
        <v>500</v>
      </c>
      <c r="G207" s="34"/>
      <c r="H207" s="35"/>
      <c r="I207" s="35"/>
      <c r="J207" s="34" cm="1">
        <f t="array" ref="J207">F207</f>
        <v>500</v>
      </c>
      <c r="K207" s="35"/>
      <c r="L207" s="35"/>
      <c r="M207" s="35"/>
    </row>
    <row r="208" ht="13.55" customHeight="1">
      <c r="A208" s="9"/>
      <c r="B208" s="112"/>
      <c r="C208" s="98"/>
      <c r="D208" s="35"/>
      <c r="E208" s="35"/>
      <c r="F208" s="34"/>
      <c r="G208" s="34"/>
      <c r="H208" s="35"/>
      <c r="I208" s="35"/>
      <c r="J208" s="35"/>
      <c r="K208" s="35"/>
      <c r="L208" s="35"/>
      <c r="M208" s="35"/>
    </row>
    <row r="209" ht="13.55" customHeight="1">
      <c r="A209" s="9"/>
      <c r="B209" s="112"/>
      <c r="C209" s="98"/>
      <c r="D209" s="35"/>
      <c r="E209" s="35"/>
      <c r="F209" s="34" cm="1">
        <f t="array" ref="F209">SUM(F192:F208)</f>
        <v>105356.84</v>
      </c>
      <c r="G209" s="34" cm="1">
        <f t="array" ref="G209">SUM(G192:G208)</f>
        <v>500</v>
      </c>
      <c r="H209" s="106"/>
      <c r="I209" s="99" cm="1">
        <f t="array" ref="I209">SUM(I192:I208)</f>
        <v>6500</v>
      </c>
      <c r="J209" s="99" cm="1">
        <f t="array" ref="J209">SUM(J192:J208)</f>
        <v>1000</v>
      </c>
      <c r="K209" s="99" cm="1">
        <f t="array" ref="K209">SUM(K192:K208)</f>
        <v>78000</v>
      </c>
      <c r="L209" s="99" cm="1">
        <f t="array" ref="L209">SUM(L192:L208)</f>
        <v>20356.84</v>
      </c>
      <c r="M209" s="106"/>
    </row>
    <row r="210" ht="13.55" customHeight="1">
      <c r="A210" s="9"/>
      <c r="B210" s="112"/>
      <c r="C210" s="98"/>
      <c r="D210" s="35"/>
      <c r="E210" s="35"/>
      <c r="F210" s="34"/>
      <c r="G210" s="34"/>
      <c r="H210" s="35"/>
      <c r="I210" s="35"/>
      <c r="J210" s="35"/>
      <c r="K210" s="35"/>
      <c r="L210" s="35"/>
      <c r="M210" s="35"/>
    </row>
    <row r="211" ht="13.55" customHeight="1">
      <c r="A211" s="9"/>
      <c r="B211" s="112"/>
      <c r="C211" s="98"/>
      <c r="D211" s="35"/>
      <c r="E211" s="35"/>
      <c r="F211" s="34"/>
      <c r="G211" s="34"/>
      <c r="H211" s="35"/>
      <c r="I211" s="35"/>
      <c r="J211" s="35"/>
      <c r="K211" s="35"/>
      <c r="L211" s="35"/>
      <c r="M211" s="35"/>
    </row>
    <row r="212" ht="15.75" customHeight="1">
      <c r="A212" s="7"/>
      <c r="B212" s="102"/>
      <c r="C212" s="102"/>
      <c r="D212" s="102"/>
      <c r="E212" s="102"/>
      <c r="F212" s="102"/>
      <c r="G212" s="116"/>
      <c r="H212" s="35"/>
      <c r="I212" s="35"/>
      <c r="J212" s="35"/>
      <c r="K212" s="35"/>
      <c r="L212" s="35"/>
      <c r="M212" s="35"/>
    </row>
    <row r="213" ht="18" customHeight="1">
      <c r="A213" s="9"/>
      <c r="B213" t="s" s="107">
        <v>77</v>
      </c>
      <c r="C213" s="108"/>
      <c r="D213" s="85"/>
      <c r="E213" s="84"/>
      <c r="F213" s="84"/>
      <c r="G213" s="84"/>
      <c r="H213" s="35"/>
      <c r="I213" s="35"/>
      <c r="J213" s="35"/>
      <c r="K213" s="35"/>
      <c r="L213" s="35"/>
      <c r="M213" s="35"/>
    </row>
    <row r="214" ht="18" customHeight="1">
      <c r="A214" s="9"/>
      <c r="B214" t="s" s="86">
        <v>174</v>
      </c>
      <c r="C214" s="87"/>
      <c r="D214" s="88"/>
      <c r="E214" s="88"/>
      <c r="F214" s="88"/>
      <c r="G214" s="113"/>
      <c r="H214" s="35"/>
      <c r="I214" s="35"/>
      <c r="J214" s="35"/>
      <c r="K214" s="35"/>
      <c r="L214" s="35"/>
      <c r="M214" s="35"/>
    </row>
    <row r="215" ht="16.5" customHeight="1">
      <c r="A215" s="9"/>
      <c r="B215" s="110"/>
      <c r="C215" s="89"/>
      <c r="D215" t="s" s="90">
        <v>78</v>
      </c>
      <c r="E215" t="s" s="90">
        <v>52</v>
      </c>
      <c r="F215" s="89"/>
      <c r="G215" t="s" s="90">
        <v>53</v>
      </c>
      <c r="H215" s="35"/>
      <c r="I215" s="35"/>
      <c r="J215" s="35"/>
      <c r="K215" s="35"/>
      <c r="L215" s="35"/>
      <c r="M215" s="35"/>
    </row>
    <row r="216" ht="33" customHeight="1">
      <c r="A216" s="9"/>
      <c r="B216" t="s" s="111">
        <v>79</v>
      </c>
      <c r="C216" t="s" s="90">
        <v>54</v>
      </c>
      <c r="D216" s="114">
        <v>12061001385</v>
      </c>
      <c r="E216" t="s" s="90">
        <v>55</v>
      </c>
      <c r="F216" t="s" s="90">
        <v>8</v>
      </c>
      <c r="G216" t="s" s="90">
        <v>8</v>
      </c>
      <c r="H216" s="35"/>
      <c r="I216" s="35"/>
      <c r="J216" s="35"/>
      <c r="K216" s="35"/>
      <c r="L216" s="35"/>
      <c r="M216" s="35"/>
    </row>
    <row r="217" ht="16.5" customHeight="1">
      <c r="A217" s="9"/>
      <c r="B217" t="s" s="111">
        <v>8</v>
      </c>
      <c r="C217" t="s" s="94">
        <v>58</v>
      </c>
      <c r="D217" t="s" s="95">
        <v>8</v>
      </c>
      <c r="E217" s="89"/>
      <c r="F217" t="s" s="96">
        <v>59</v>
      </c>
      <c r="G217" t="s" s="90">
        <v>57</v>
      </c>
      <c r="H217" s="34" cm="1">
        <f t="array" ref="H217">F238+G238</f>
        <v>112251.98</v>
      </c>
      <c r="I217" s="35"/>
      <c r="J217" s="35"/>
      <c r="K217" s="35"/>
      <c r="L217" s="35"/>
      <c r="M217" s="35"/>
    </row>
    <row r="218" ht="13.55" customHeight="1">
      <c r="A218" s="9"/>
      <c r="B218" s="112">
        <v>45901</v>
      </c>
      <c r="C218" s="98"/>
      <c r="D218" t="s" s="80">
        <v>60</v>
      </c>
      <c r="E218" t="s" s="80">
        <v>166</v>
      </c>
      <c r="F218" s="34"/>
      <c r="G218" s="34">
        <v>1500</v>
      </c>
      <c r="H218" s="35"/>
      <c r="I218" s="35"/>
      <c r="J218" s="35"/>
      <c r="K218" s="34" cm="1">
        <f t="array" ref="K218">G218</f>
        <v>1500</v>
      </c>
      <c r="L218" s="35"/>
      <c r="M218" s="35"/>
    </row>
    <row r="219" ht="13.55" customHeight="1">
      <c r="A219" s="9"/>
      <c r="B219" s="112">
        <v>45901</v>
      </c>
      <c r="C219" s="98"/>
      <c r="D219" t="s" s="80">
        <v>60</v>
      </c>
      <c r="E219" t="s" s="80">
        <v>175</v>
      </c>
      <c r="F219" s="34"/>
      <c r="G219" s="34">
        <v>1000</v>
      </c>
      <c r="H219" s="35"/>
      <c r="I219" s="35"/>
      <c r="J219" s="35"/>
      <c r="K219" s="34" cm="1">
        <f t="array" ref="K219">G219</f>
        <v>1000</v>
      </c>
      <c r="L219" s="35"/>
      <c r="M219" s="35"/>
    </row>
    <row r="220" ht="13.55" customHeight="1">
      <c r="A220" s="9"/>
      <c r="B220" s="112">
        <v>45901</v>
      </c>
      <c r="C220" s="117">
        <v>2464</v>
      </c>
      <c r="D220" t="s" s="80">
        <v>60</v>
      </c>
      <c r="E220" t="s" s="80">
        <v>146</v>
      </c>
      <c r="F220" s="34">
        <v>500</v>
      </c>
      <c r="G220" s="34"/>
      <c r="H220" s="35"/>
      <c r="I220" s="34" cm="1">
        <f t="array" ref="I220">F220</f>
        <v>500</v>
      </c>
      <c r="J220" s="35"/>
      <c r="K220" s="35"/>
      <c r="L220" s="35"/>
      <c r="M220" s="35"/>
    </row>
    <row r="221" ht="13.55" customHeight="1">
      <c r="A221" s="9"/>
      <c r="B221" s="112">
        <v>45902</v>
      </c>
      <c r="C221" s="98"/>
      <c r="D221" t="s" s="80">
        <v>60</v>
      </c>
      <c r="E221" s="35"/>
      <c r="F221" s="34"/>
      <c r="G221" s="34">
        <v>500</v>
      </c>
      <c r="H221" s="35"/>
      <c r="I221" s="35"/>
      <c r="J221" s="35"/>
      <c r="K221" s="34" cm="1">
        <f t="array" ref="K221">G221</f>
        <v>500</v>
      </c>
      <c r="L221" s="35"/>
      <c r="M221" s="35"/>
    </row>
    <row r="222" ht="13.55" customHeight="1">
      <c r="A222" s="9"/>
      <c r="B222" s="112">
        <v>45908</v>
      </c>
      <c r="C222" s="98">
        <v>2465</v>
      </c>
      <c r="D222" t="s" s="80">
        <v>60</v>
      </c>
      <c r="E222" t="s" s="80">
        <v>98</v>
      </c>
      <c r="F222" s="34">
        <v>500</v>
      </c>
      <c r="G222" s="34"/>
      <c r="H222" s="35"/>
      <c r="I222" s="34" cm="1">
        <f t="array" ref="I222">F222</f>
        <v>500</v>
      </c>
      <c r="J222" s="35"/>
      <c r="K222" s="35"/>
      <c r="L222" s="35"/>
      <c r="M222" s="35"/>
    </row>
    <row r="223" ht="13.55" customHeight="1">
      <c r="A223" s="9"/>
      <c r="B223" s="112">
        <v>45908</v>
      </c>
      <c r="C223" s="98"/>
      <c r="D223" t="s" s="80">
        <v>60</v>
      </c>
      <c r="E223" t="s" s="80">
        <v>112</v>
      </c>
      <c r="F223" s="34">
        <v>0</v>
      </c>
      <c r="G223" s="34">
        <v>1000</v>
      </c>
      <c r="H223" s="35"/>
      <c r="I223" s="35"/>
      <c r="J223" s="35"/>
      <c r="K223" s="34" cm="1">
        <f t="array" ref="K223">G223</f>
        <v>1000</v>
      </c>
      <c r="L223" s="35"/>
      <c r="M223" s="35"/>
    </row>
    <row r="224" ht="13.55" customHeight="1">
      <c r="A224" s="9"/>
      <c r="B224" s="112">
        <v>45915</v>
      </c>
      <c r="C224" s="100"/>
      <c r="D224" t="s" s="80">
        <v>99</v>
      </c>
      <c r="E224" t="s" s="80">
        <v>100</v>
      </c>
      <c r="F224" s="34">
        <v>20050</v>
      </c>
      <c r="G224" s="34"/>
      <c r="H224" s="35"/>
      <c r="I224" s="35"/>
      <c r="J224" s="34" cm="1">
        <f t="array" ref="J224">F224</f>
        <v>20050</v>
      </c>
      <c r="K224" s="35"/>
      <c r="L224" s="35"/>
      <c r="M224" s="35"/>
    </row>
    <row r="225" ht="13.55" customHeight="1">
      <c r="A225" s="9"/>
      <c r="B225" s="112">
        <v>45915</v>
      </c>
      <c r="C225" s="98"/>
      <c r="D225" t="s" s="80">
        <v>99</v>
      </c>
      <c r="E225" t="s" s="80">
        <v>100</v>
      </c>
      <c r="F225" s="34">
        <v>49500</v>
      </c>
      <c r="G225" s="34"/>
      <c r="H225" s="35"/>
      <c r="I225" s="35"/>
      <c r="J225" s="34" cm="1">
        <f t="array" ref="J225">F225</f>
        <v>49500</v>
      </c>
      <c r="K225" s="35"/>
      <c r="L225" s="35"/>
      <c r="M225" s="35"/>
    </row>
    <row r="226" ht="13.55" customHeight="1">
      <c r="A226" s="9"/>
      <c r="B226" s="112">
        <v>45915</v>
      </c>
      <c r="C226" s="18"/>
      <c r="D226" t="s" s="80">
        <v>99</v>
      </c>
      <c r="E226" t="s" s="80">
        <v>100</v>
      </c>
      <c r="F226" s="34">
        <v>7200</v>
      </c>
      <c r="G226" s="34"/>
      <c r="H226" s="35"/>
      <c r="I226" s="35"/>
      <c r="J226" s="34" cm="1">
        <f t="array" ref="J226">F226</f>
        <v>7200</v>
      </c>
      <c r="K226" s="35"/>
      <c r="L226" s="35"/>
      <c r="M226" s="35"/>
    </row>
    <row r="227" ht="13.55" customHeight="1">
      <c r="A227" s="9"/>
      <c r="B227" s="112">
        <v>45915</v>
      </c>
      <c r="C227" s="117">
        <v>2466</v>
      </c>
      <c r="D227" t="s" s="80">
        <v>176</v>
      </c>
      <c r="E227" t="s" s="80">
        <v>140</v>
      </c>
      <c r="F227" s="34">
        <v>500</v>
      </c>
      <c r="G227" s="34"/>
      <c r="H227" s="35"/>
      <c r="I227" s="34" cm="1">
        <f t="array" ref="I227">F227</f>
        <v>500</v>
      </c>
      <c r="J227" s="35"/>
      <c r="K227" s="35"/>
      <c r="L227" s="35"/>
      <c r="M227" s="35"/>
    </row>
    <row r="228" ht="13.55" customHeight="1">
      <c r="A228" s="9"/>
      <c r="B228" s="112">
        <v>45917</v>
      </c>
      <c r="C228" s="98">
        <v>2469</v>
      </c>
      <c r="D228" t="s" s="80">
        <v>60</v>
      </c>
      <c r="E228" t="s" s="80">
        <v>177</v>
      </c>
      <c r="F228" s="34">
        <v>1500</v>
      </c>
      <c r="G228" s="34"/>
      <c r="H228" s="35"/>
      <c r="I228" s="34" cm="1">
        <f t="array" ref="I228">F228</f>
        <v>1500</v>
      </c>
      <c r="J228" s="35"/>
      <c r="K228" s="35"/>
      <c r="L228" s="35"/>
      <c r="M228" s="35"/>
    </row>
    <row r="229" ht="13.55" customHeight="1">
      <c r="A229" s="9"/>
      <c r="B229" s="112">
        <v>45917</v>
      </c>
      <c r="C229" s="98"/>
      <c r="D229" t="s" s="80">
        <v>99</v>
      </c>
      <c r="E229" t="s" s="80">
        <v>178</v>
      </c>
      <c r="F229" s="34">
        <v>7001.08</v>
      </c>
      <c r="G229" s="34"/>
      <c r="H229" s="35"/>
      <c r="I229" s="35"/>
      <c r="J229" s="35"/>
      <c r="K229" s="35"/>
      <c r="L229" s="34" cm="1">
        <f t="array" ref="L229">F229</f>
        <v>7001.08</v>
      </c>
      <c r="M229" s="35"/>
    </row>
    <row r="230" ht="13.55" customHeight="1">
      <c r="A230" s="9"/>
      <c r="B230" s="112">
        <v>45917</v>
      </c>
      <c r="C230" s="98">
        <v>2467</v>
      </c>
      <c r="D230" t="s" s="80">
        <v>60</v>
      </c>
      <c r="E230" t="s" s="80">
        <v>154</v>
      </c>
      <c r="F230" s="34">
        <v>500</v>
      </c>
      <c r="G230" s="34"/>
      <c r="H230" s="35"/>
      <c r="I230" s="34" cm="1">
        <f t="array" ref="I230">F230</f>
        <v>500</v>
      </c>
      <c r="J230" s="35"/>
      <c r="K230" s="35"/>
      <c r="L230" s="35"/>
      <c r="M230" s="35"/>
    </row>
    <row r="231" ht="13.55" customHeight="1">
      <c r="A231" s="9"/>
      <c r="B231" s="112">
        <v>45917</v>
      </c>
      <c r="C231" s="98"/>
      <c r="D231" t="s" s="80">
        <v>60</v>
      </c>
      <c r="E231" t="s" s="80">
        <v>73</v>
      </c>
      <c r="F231" s="34">
        <v>0</v>
      </c>
      <c r="G231" s="34">
        <v>1000</v>
      </c>
      <c r="H231" s="35"/>
      <c r="I231" s="35"/>
      <c r="J231" s="35"/>
      <c r="K231" s="34" cm="1">
        <f t="array" ref="K231">G231</f>
        <v>1000</v>
      </c>
      <c r="L231" t="s" s="80">
        <v>8</v>
      </c>
      <c r="M231" s="35"/>
    </row>
    <row r="232" ht="13.55" customHeight="1">
      <c r="A232" s="9"/>
      <c r="B232" s="112">
        <v>45917</v>
      </c>
      <c r="C232" s="98">
        <v>2468</v>
      </c>
      <c r="D232" t="s" s="80">
        <v>60</v>
      </c>
      <c r="E232" t="s" s="80">
        <v>121</v>
      </c>
      <c r="F232" s="34">
        <v>1000</v>
      </c>
      <c r="G232" s="34"/>
      <c r="H232" s="35"/>
      <c r="I232" s="34" cm="1">
        <f t="array" ref="I232">F232</f>
        <v>1000</v>
      </c>
      <c r="J232" s="35"/>
      <c r="K232" s="35"/>
      <c r="L232" s="35"/>
      <c r="M232" s="35"/>
    </row>
    <row r="233" ht="13.55" customHeight="1">
      <c r="A233" s="9"/>
      <c r="B233" s="112">
        <v>45918</v>
      </c>
      <c r="C233" s="98"/>
      <c r="D233" t="s" s="80">
        <v>90</v>
      </c>
      <c r="E233" t="s" s="80">
        <v>178</v>
      </c>
      <c r="F233" s="34"/>
      <c r="G233" s="34">
        <v>6500.9</v>
      </c>
      <c r="H233" s="35"/>
      <c r="I233" s="35"/>
      <c r="J233" s="35"/>
      <c r="K233" s="35"/>
      <c r="L233" s="34" cm="1">
        <f t="array" ref="L233">G233</f>
        <v>6500.9</v>
      </c>
      <c r="M233" s="35"/>
    </row>
    <row r="234" ht="13.55" customHeight="1">
      <c r="A234" s="9"/>
      <c r="B234" s="112">
        <v>45919</v>
      </c>
      <c r="C234" s="98">
        <v>2470</v>
      </c>
      <c r="D234" t="s" s="80">
        <v>60</v>
      </c>
      <c r="E234" t="s" s="80">
        <v>179</v>
      </c>
      <c r="F234" s="34">
        <v>1500</v>
      </c>
      <c r="G234" s="34"/>
      <c r="H234" s="35"/>
      <c r="I234" s="34" cm="1">
        <f t="array" ref="I234">F234</f>
        <v>1500</v>
      </c>
      <c r="J234" s="35"/>
      <c r="K234" s="35"/>
      <c r="L234" s="35"/>
      <c r="M234" s="35"/>
    </row>
    <row r="235" ht="13.55" customHeight="1">
      <c r="A235" s="9"/>
      <c r="B235" s="112">
        <v>45922</v>
      </c>
      <c r="C235" s="98"/>
      <c r="D235" t="s" s="80">
        <v>60</v>
      </c>
      <c r="E235" t="s" s="80">
        <v>180</v>
      </c>
      <c r="F235" t="s" s="80">
        <v>8</v>
      </c>
      <c r="G235" s="34">
        <v>6000</v>
      </c>
      <c r="H235" s="35"/>
      <c r="I235" s="35"/>
      <c r="J235" s="35"/>
      <c r="K235" s="34" cm="1">
        <f t="array" ref="K235">G235</f>
        <v>6000</v>
      </c>
      <c r="L235" s="35"/>
      <c r="M235" s="35"/>
    </row>
    <row r="236" ht="13.55" customHeight="1">
      <c r="A236" s="9"/>
      <c r="B236" s="112">
        <v>45922</v>
      </c>
      <c r="C236" s="98"/>
      <c r="D236" t="s" s="80">
        <v>181</v>
      </c>
      <c r="E236" t="s" s="80">
        <v>182</v>
      </c>
      <c r="F236" s="34">
        <v>5000</v>
      </c>
      <c r="G236" s="34"/>
      <c r="H236" s="35"/>
      <c r="I236" s="35"/>
      <c r="J236" s="35"/>
      <c r="K236" s="35"/>
      <c r="L236" s="34" cm="1">
        <f t="array" ref="L236">F236</f>
        <v>5000</v>
      </c>
      <c r="M236" s="35"/>
    </row>
    <row r="237" ht="13.55" customHeight="1">
      <c r="A237" s="9"/>
      <c r="B237" s="112"/>
      <c r="C237" s="98"/>
      <c r="D237" s="35"/>
      <c r="E237" s="35"/>
      <c r="F237" s="34"/>
      <c r="G237" s="34"/>
      <c r="H237" s="35"/>
      <c r="I237" s="35"/>
      <c r="J237" s="35"/>
      <c r="K237" s="35"/>
      <c r="L237" s="35"/>
      <c r="M237" s="35"/>
    </row>
    <row r="238" ht="13.55" customHeight="1">
      <c r="A238" s="9"/>
      <c r="B238" s="112"/>
      <c r="C238" s="98"/>
      <c r="D238" s="35"/>
      <c r="E238" s="35"/>
      <c r="F238" s="34" cm="1">
        <f t="array" ref="F238">SUM(F218:F237)</f>
        <v>94751.08</v>
      </c>
      <c r="G238" s="34" cm="1">
        <f t="array" ref="G238">SUM(G218:G237)</f>
        <v>17500.9</v>
      </c>
      <c r="H238" s="106"/>
      <c r="I238" s="99" cm="1">
        <f t="array" ref="I238">SUM(I218:I237)</f>
        <v>6000</v>
      </c>
      <c r="J238" s="99" cm="1">
        <f t="array" ref="J238">SUM(J218:J237)</f>
        <v>76750</v>
      </c>
      <c r="K238" s="99" cm="1">
        <f t="array" ref="K238">SUM(K218:K237)</f>
        <v>11000</v>
      </c>
      <c r="L238" s="99" cm="1">
        <f t="array" ref="L238">SUM(L218:L237)</f>
        <v>18501.98</v>
      </c>
      <c r="M238" s="106"/>
    </row>
    <row r="239" ht="13.55" customHeight="1">
      <c r="A239" s="9"/>
      <c r="B239" s="112"/>
      <c r="C239" s="98"/>
      <c r="D239" s="35"/>
      <c r="E239" s="35"/>
      <c r="F239" s="34"/>
      <c r="G239" s="34"/>
      <c r="H239" s="35"/>
      <c r="I239" s="35"/>
      <c r="J239" s="35"/>
      <c r="K239" s="35"/>
      <c r="L239" s="35"/>
      <c r="M239" s="35"/>
    </row>
    <row r="240" ht="15.75" customHeight="1">
      <c r="A240" s="7"/>
      <c r="B240" s="102"/>
      <c r="C240" s="102"/>
      <c r="D240" s="102"/>
      <c r="E240" s="102"/>
      <c r="F240" s="102"/>
      <c r="G240" s="116"/>
      <c r="H240" s="35"/>
      <c r="I240" s="35"/>
      <c r="J240" s="35"/>
      <c r="K240" s="35"/>
      <c r="L240" s="35"/>
      <c r="M240" s="35"/>
    </row>
    <row r="241" ht="18" customHeight="1">
      <c r="A241" s="9"/>
      <c r="B241" t="s" s="107">
        <v>77</v>
      </c>
      <c r="C241" s="108"/>
      <c r="D241" s="85"/>
      <c r="E241" s="84"/>
      <c r="F241" s="84"/>
      <c r="G241" s="84"/>
      <c r="H241" s="35"/>
      <c r="I241" s="35"/>
      <c r="J241" s="35"/>
      <c r="K241" s="35"/>
      <c r="L241" s="35"/>
      <c r="M241" s="35"/>
    </row>
    <row r="242" ht="18" customHeight="1">
      <c r="A242" s="9"/>
      <c r="B242" t="s" s="86">
        <v>183</v>
      </c>
      <c r="C242" s="87"/>
      <c r="D242" s="88"/>
      <c r="E242" s="88"/>
      <c r="F242" s="88"/>
      <c r="G242" s="113"/>
      <c r="H242" s="35"/>
      <c r="I242" s="35"/>
      <c r="J242" s="35"/>
      <c r="K242" s="35"/>
      <c r="L242" s="35"/>
      <c r="M242" s="35"/>
    </row>
    <row r="243" ht="16.5" customHeight="1">
      <c r="A243" s="9"/>
      <c r="B243" s="110"/>
      <c r="C243" s="89"/>
      <c r="D243" t="s" s="90">
        <v>78</v>
      </c>
      <c r="E243" t="s" s="90">
        <v>52</v>
      </c>
      <c r="F243" s="89"/>
      <c r="G243" t="s" s="90">
        <v>53</v>
      </c>
      <c r="H243" s="35"/>
      <c r="I243" s="35"/>
      <c r="J243" s="35"/>
      <c r="K243" s="35"/>
      <c r="L243" s="35"/>
      <c r="M243" s="35"/>
    </row>
    <row r="244" ht="33" customHeight="1">
      <c r="A244" s="9"/>
      <c r="B244" t="s" s="111">
        <v>79</v>
      </c>
      <c r="C244" t="s" s="90">
        <v>54</v>
      </c>
      <c r="D244" s="114">
        <v>12061001385</v>
      </c>
      <c r="E244" t="s" s="90">
        <v>55</v>
      </c>
      <c r="F244" t="s" s="90">
        <v>8</v>
      </c>
      <c r="G244" t="s" s="90">
        <v>8</v>
      </c>
      <c r="H244" s="35"/>
      <c r="I244" s="35"/>
      <c r="J244" s="35"/>
      <c r="K244" s="35"/>
      <c r="L244" s="35"/>
      <c r="M244" s="35"/>
    </row>
    <row r="245" ht="16.5" customHeight="1">
      <c r="A245" s="9"/>
      <c r="B245" t="s" s="111">
        <v>8</v>
      </c>
      <c r="C245" t="s" s="94">
        <v>58</v>
      </c>
      <c r="D245" t="s" s="95">
        <v>8</v>
      </c>
      <c r="E245" s="89"/>
      <c r="F245" t="s" s="96">
        <v>59</v>
      </c>
      <c r="G245" t="s" s="90">
        <v>57</v>
      </c>
      <c r="H245" s="34" cm="1">
        <f t="array" ref="H245">G259+F259</f>
        <v>81050</v>
      </c>
      <c r="I245" s="35"/>
      <c r="J245" s="35"/>
      <c r="K245" s="35"/>
      <c r="L245" s="35"/>
      <c r="M245" s="35"/>
    </row>
    <row r="246" ht="13.55" customHeight="1">
      <c r="A246" s="9"/>
      <c r="B246" s="112">
        <v>45931</v>
      </c>
      <c r="C246" s="98"/>
      <c r="D246" t="s" s="80">
        <v>60</v>
      </c>
      <c r="E246" t="s" s="80">
        <v>184</v>
      </c>
      <c r="F246" s="34"/>
      <c r="G246" s="34">
        <v>500</v>
      </c>
      <c r="H246" s="35"/>
      <c r="I246" s="35"/>
      <c r="J246" s="35"/>
      <c r="K246" s="34" cm="1">
        <f t="array" ref="K246">G246</f>
        <v>500</v>
      </c>
      <c r="L246" t="s" s="80">
        <v>8</v>
      </c>
      <c r="M246" s="35"/>
    </row>
    <row r="247" ht="13.55" customHeight="1">
      <c r="A247" s="9"/>
      <c r="B247" s="112">
        <v>45936</v>
      </c>
      <c r="C247" s="98">
        <v>2571</v>
      </c>
      <c r="D247" t="s" s="80">
        <v>60</v>
      </c>
      <c r="E247" t="s" s="80">
        <v>165</v>
      </c>
      <c r="F247" s="34">
        <v>500</v>
      </c>
      <c r="G247" s="34"/>
      <c r="H247" s="35"/>
      <c r="I247" s="34">
        <v>500</v>
      </c>
      <c r="J247" t="s" s="80">
        <v>8</v>
      </c>
      <c r="K247" s="35"/>
      <c r="L247" s="35"/>
      <c r="M247" s="35"/>
    </row>
    <row r="248" ht="13.55" customHeight="1">
      <c r="A248" s="9"/>
      <c r="B248" s="112">
        <v>45938</v>
      </c>
      <c r="C248" s="117">
        <v>2572</v>
      </c>
      <c r="D248" t="s" s="80">
        <v>60</v>
      </c>
      <c r="E248" t="s" s="80">
        <v>154</v>
      </c>
      <c r="F248" s="34">
        <v>500</v>
      </c>
      <c r="G248" s="34"/>
      <c r="H248" s="35"/>
      <c r="I248" s="34">
        <v>500</v>
      </c>
      <c r="J248" t="s" s="80">
        <v>8</v>
      </c>
      <c r="K248" s="35"/>
      <c r="L248" s="35"/>
      <c r="M248" s="35"/>
    </row>
    <row r="249" ht="13.55" customHeight="1">
      <c r="A249" s="9"/>
      <c r="B249" s="112">
        <v>45943</v>
      </c>
      <c r="C249" s="98"/>
      <c r="D249" t="s" s="80">
        <v>60</v>
      </c>
      <c r="E249" t="s" s="80">
        <v>112</v>
      </c>
      <c r="F249" s="34"/>
      <c r="G249" s="34">
        <v>500</v>
      </c>
      <c r="H249" s="35"/>
      <c r="I249" s="35"/>
      <c r="J249" s="35"/>
      <c r="K249" s="34">
        <v>500</v>
      </c>
      <c r="L249" t="s" s="80">
        <v>8</v>
      </c>
      <c r="M249" s="35"/>
    </row>
    <row r="250" ht="13.55" customHeight="1">
      <c r="A250" s="9"/>
      <c r="B250" s="112">
        <v>45945</v>
      </c>
      <c r="C250" s="98">
        <v>2573</v>
      </c>
      <c r="D250" t="s" s="80">
        <v>60</v>
      </c>
      <c r="E250" t="s" s="80">
        <v>140</v>
      </c>
      <c r="F250" s="34">
        <v>500</v>
      </c>
      <c r="G250" s="34"/>
      <c r="H250" s="35"/>
      <c r="I250" s="34">
        <v>500</v>
      </c>
      <c r="J250" t="s" s="80">
        <v>8</v>
      </c>
      <c r="K250" s="35"/>
      <c r="L250" s="35"/>
      <c r="M250" s="35"/>
    </row>
    <row r="251" ht="13.55" customHeight="1">
      <c r="A251" s="9"/>
      <c r="B251" s="112">
        <v>45945</v>
      </c>
      <c r="C251" s="98">
        <v>2574</v>
      </c>
      <c r="D251" t="s" s="80">
        <v>60</v>
      </c>
      <c r="E251" t="s" s="80">
        <v>121</v>
      </c>
      <c r="F251" s="34">
        <v>1000</v>
      </c>
      <c r="G251" s="34"/>
      <c r="H251" s="35"/>
      <c r="I251" s="34">
        <v>1000</v>
      </c>
      <c r="J251" t="s" s="80">
        <v>8</v>
      </c>
      <c r="K251" s="35"/>
      <c r="L251" s="35"/>
      <c r="M251" s="35"/>
    </row>
    <row r="252" ht="13.55" customHeight="1">
      <c r="A252" s="9"/>
      <c r="B252" s="112">
        <v>45947</v>
      </c>
      <c r="C252" s="100"/>
      <c r="D252" t="s" s="80">
        <v>99</v>
      </c>
      <c r="E252" t="s" s="80">
        <v>167</v>
      </c>
      <c r="F252" s="34">
        <v>47300</v>
      </c>
      <c r="G252" s="34"/>
      <c r="H252" s="35"/>
      <c r="I252" s="34"/>
      <c r="J252" s="34" cm="1">
        <f t="array" ref="J252">F252</f>
        <v>47300</v>
      </c>
      <c r="K252" t="s" s="80">
        <v>8</v>
      </c>
      <c r="L252" s="35"/>
      <c r="M252" s="35"/>
    </row>
    <row r="253" ht="13.55" customHeight="1">
      <c r="A253" s="9"/>
      <c r="B253" s="112">
        <v>45947</v>
      </c>
      <c r="C253" s="98"/>
      <c r="D253" t="s" s="80">
        <v>99</v>
      </c>
      <c r="E253" t="s" s="80">
        <v>185</v>
      </c>
      <c r="F253" s="34">
        <v>7200</v>
      </c>
      <c r="G253" s="34"/>
      <c r="H253" s="35"/>
      <c r="I253" s="35"/>
      <c r="J253" s="34" cm="1">
        <f t="array" ref="J253">F253</f>
        <v>7200</v>
      </c>
      <c r="K253" t="s" s="80">
        <v>8</v>
      </c>
      <c r="L253" s="35"/>
      <c r="M253" s="35"/>
    </row>
    <row r="254" ht="13.55" customHeight="1">
      <c r="A254" s="9"/>
      <c r="B254" s="112">
        <v>45947</v>
      </c>
      <c r="C254" s="18"/>
      <c r="D254" t="s" s="80">
        <v>99</v>
      </c>
      <c r="E254" t="s" s="80">
        <v>100</v>
      </c>
      <c r="F254" s="34">
        <v>19550</v>
      </c>
      <c r="G254" s="34"/>
      <c r="H254" s="35"/>
      <c r="I254" s="35"/>
      <c r="J254" s="34" cm="1">
        <f t="array" ref="J254">F254</f>
        <v>19550</v>
      </c>
      <c r="K254" t="s" s="80">
        <v>8</v>
      </c>
      <c r="L254" s="35"/>
      <c r="M254" s="35"/>
    </row>
    <row r="255" ht="13.55" customHeight="1">
      <c r="A255" s="9"/>
      <c r="B255" s="119">
        <v>45950</v>
      </c>
      <c r="C255" s="112">
        <v>45950</v>
      </c>
      <c r="D255" t="s" s="80">
        <v>60</v>
      </c>
      <c r="E255" t="s" s="80">
        <v>60</v>
      </c>
      <c r="F255" s="35"/>
      <c r="G255" s="34">
        <v>500</v>
      </c>
      <c r="H255" t="s" s="80">
        <v>8</v>
      </c>
      <c r="I255" s="34">
        <v>500</v>
      </c>
      <c r="J255" s="35"/>
      <c r="K255" s="35"/>
      <c r="L255" t="str" s="35" cm="1">
        <f t="array" ref="L255">H255</f>
        <v> </v>
      </c>
      <c r="M255" s="35"/>
    </row>
    <row r="256" ht="13.55" customHeight="1">
      <c r="A256" s="9"/>
      <c r="B256" s="119">
        <v>45950</v>
      </c>
      <c r="C256" s="112">
        <v>45950</v>
      </c>
      <c r="D256" t="s" s="80">
        <v>60</v>
      </c>
      <c r="E256" t="s" s="80">
        <v>162</v>
      </c>
      <c r="F256" t="s" s="80">
        <v>8</v>
      </c>
      <c r="G256" s="34">
        <v>1500</v>
      </c>
      <c r="H256" t="s" s="80">
        <v>8</v>
      </c>
      <c r="I256" s="34">
        <v>1500</v>
      </c>
      <c r="J256" t="s" s="80">
        <v>8</v>
      </c>
      <c r="K256" s="35"/>
      <c r="L256" s="35"/>
      <c r="M256" s="35"/>
    </row>
    <row r="257" ht="13.55" customHeight="1">
      <c r="A257" s="9"/>
      <c r="B257" s="119">
        <v>45950</v>
      </c>
      <c r="C257" s="112">
        <v>45950</v>
      </c>
      <c r="D257" t="s" s="80">
        <v>60</v>
      </c>
      <c r="E257" t="s" s="80">
        <v>150</v>
      </c>
      <c r="F257" t="s" s="80">
        <v>8</v>
      </c>
      <c r="G257" s="34">
        <v>1000</v>
      </c>
      <c r="H257" t="s" s="80">
        <v>8</v>
      </c>
      <c r="I257" t="s" s="80">
        <v>8</v>
      </c>
      <c r="J257" t="s" s="80">
        <v>8</v>
      </c>
      <c r="K257" s="34">
        <v>1000</v>
      </c>
      <c r="L257" t="str" s="35" cm="1">
        <f t="array" ref="L257">H257</f>
        <v> </v>
      </c>
      <c r="M257" s="35"/>
    </row>
    <row r="258" ht="13.55" customHeight="1">
      <c r="A258" s="9"/>
      <c r="B258" s="119">
        <v>45951</v>
      </c>
      <c r="C258" s="112">
        <v>45951</v>
      </c>
      <c r="D258" t="s" s="80">
        <v>60</v>
      </c>
      <c r="E258" t="s" s="80">
        <v>112</v>
      </c>
      <c r="F258" t="s" s="80">
        <v>8</v>
      </c>
      <c r="G258" s="34">
        <v>500</v>
      </c>
      <c r="H258" t="s" s="80">
        <v>8</v>
      </c>
      <c r="I258" t="s" s="80">
        <v>8</v>
      </c>
      <c r="J258" t="s" s="80">
        <v>8</v>
      </c>
      <c r="K258" s="34">
        <v>500</v>
      </c>
      <c r="L258" t="str" s="35" cm="1">
        <f t="array" ref="L258">H258</f>
        <v> </v>
      </c>
      <c r="M258" s="35"/>
    </row>
    <row r="259" ht="13.55" customHeight="1">
      <c r="A259" s="9"/>
      <c r="B259" s="112"/>
      <c r="C259" s="98"/>
      <c r="D259" s="35"/>
      <c r="E259" s="35"/>
      <c r="F259" s="34" cm="1">
        <f t="array" ref="F259">SUM(F246:F258)</f>
        <v>76550</v>
      </c>
      <c r="G259" s="34" cm="1">
        <f t="array" ref="G259">SUM(G246:G258)</f>
        <v>4500</v>
      </c>
      <c r="H259" s="35"/>
      <c r="I259" s="35"/>
      <c r="J259" s="34"/>
      <c r="K259" s="35"/>
      <c r="L259" s="35"/>
      <c r="M259" s="35"/>
    </row>
    <row r="260" ht="13.55" customHeight="1">
      <c r="A260" s="7"/>
      <c r="B260" s="22"/>
      <c r="C260" s="22"/>
      <c r="D260" s="22"/>
      <c r="E260" s="22"/>
      <c r="F260" s="22"/>
      <c r="G260" s="120"/>
      <c r="H260" s="35"/>
      <c r="I260" s="35"/>
      <c r="J260" s="35"/>
      <c r="K260" s="35"/>
      <c r="L260" s="35"/>
      <c r="M260" s="35"/>
    </row>
    <row r="261" ht="13.55" customHeight="1">
      <c r="A261" s="7"/>
      <c r="B261" s="7"/>
      <c r="C261" s="7"/>
      <c r="D261" s="7"/>
      <c r="E261" s="7"/>
      <c r="F261" s="7"/>
      <c r="G261" s="79"/>
      <c r="H261" s="35"/>
      <c r="I261" s="35"/>
      <c r="J261" s="35"/>
      <c r="K261" s="35"/>
      <c r="L261" s="35"/>
      <c r="M261" s="35"/>
    </row>
    <row r="262" ht="13.55" customHeight="1">
      <c r="A262" s="7"/>
      <c r="B262" s="7"/>
      <c r="C262" s="7"/>
      <c r="D262" s="7"/>
      <c r="E262" s="7"/>
      <c r="F262" s="7"/>
      <c r="G262" s="79"/>
      <c r="H262" s="35"/>
      <c r="I262" s="35"/>
      <c r="J262" s="35"/>
      <c r="K262" s="35"/>
      <c r="L262" s="35"/>
      <c r="M262" s="35"/>
    </row>
    <row r="263" ht="13.55" customHeight="1">
      <c r="A263" s="7"/>
      <c r="B263" s="7"/>
      <c r="C263" s="7"/>
      <c r="D263" s="7"/>
      <c r="E263" t="s" s="26">
        <v>186</v>
      </c>
      <c r="F263" t="s" s="26">
        <v>8</v>
      </c>
      <c r="G263" t="s" s="121">
        <v>8</v>
      </c>
      <c r="H263" s="99" cm="1">
        <f t="array" ref="H263">H245+H217+H191+H163+H132+H109+H85+H53+H32+H6</f>
        <v>1352584.83</v>
      </c>
      <c r="I263" s="99" cm="1">
        <f t="array" ref="I263">SUM(I246:I262)</f>
        <v>4500</v>
      </c>
      <c r="J263" s="99" cm="1">
        <f t="array" ref="J263">SUM(J246:J262)</f>
        <v>74050</v>
      </c>
      <c r="K263" s="99" cm="1">
        <f t="array" ref="K263">SUM(K246:K262)</f>
        <v>2500</v>
      </c>
      <c r="L263" s="99" cm="1">
        <f t="array" ref="L263">SUM(L246:L262)</f>
        <v>0</v>
      </c>
      <c r="M263" s="106"/>
    </row>
    <row r="264" ht="13.55" customHeight="1">
      <c r="A264" s="7"/>
      <c r="B264" s="7"/>
      <c r="C264" s="7"/>
      <c r="D264" s="7"/>
      <c r="E264" s="7"/>
      <c r="F264" s="7"/>
      <c r="G264" t="s" s="121">
        <v>8</v>
      </c>
      <c r="H264" s="35"/>
      <c r="I264" s="35"/>
      <c r="J264" s="35"/>
      <c r="K264" s="35"/>
      <c r="L264" s="35"/>
      <c r="M264" s="35"/>
    </row>
    <row r="265" ht="13.55" customHeight="1">
      <c r="A265" s="7"/>
      <c r="B265" s="7"/>
      <c r="C265" s="7"/>
      <c r="D265" s="7"/>
      <c r="E265" s="7"/>
      <c r="F265" s="7"/>
      <c r="G265" s="79"/>
      <c r="H265" s="35"/>
      <c r="I265" s="35"/>
      <c r="J265" s="35"/>
      <c r="K265" s="35"/>
      <c r="L265" s="35"/>
      <c r="M265" s="35"/>
    </row>
    <row r="266" ht="15.75" customHeight="1">
      <c r="A266" s="7"/>
      <c r="B266" s="8"/>
      <c r="C266" s="8"/>
      <c r="D266" s="8"/>
      <c r="E266" s="8"/>
      <c r="F266" s="8"/>
      <c r="G266" s="122"/>
      <c r="H266" s="35"/>
      <c r="I266" s="35"/>
      <c r="J266" s="35"/>
      <c r="K266" s="35"/>
      <c r="L266" s="35"/>
      <c r="M266" s="35"/>
    </row>
    <row r="267" ht="18" customHeight="1">
      <c r="A267" s="9"/>
      <c r="B267" t="s" s="107">
        <v>77</v>
      </c>
      <c r="C267" s="108"/>
      <c r="D267" s="85"/>
      <c r="E267" s="84"/>
      <c r="F267" s="84"/>
      <c r="G267" s="84"/>
      <c r="H267" s="35"/>
      <c r="I267" s="35"/>
      <c r="J267" s="35"/>
      <c r="K267" s="35"/>
      <c r="L267" s="35"/>
      <c r="M267" s="35"/>
    </row>
    <row r="268" ht="18" customHeight="1">
      <c r="A268" s="9"/>
      <c r="B268" t="s" s="86">
        <v>187</v>
      </c>
      <c r="C268" s="87"/>
      <c r="D268" s="88"/>
      <c r="E268" s="88"/>
      <c r="F268" s="88"/>
      <c r="G268" s="113"/>
      <c r="H268" s="35"/>
      <c r="I268" s="35"/>
      <c r="J268" s="35"/>
      <c r="K268" s="35"/>
      <c r="L268" s="35"/>
      <c r="M268" s="35"/>
    </row>
    <row r="269" ht="16.5" customHeight="1">
      <c r="A269" s="9"/>
      <c r="B269" s="110"/>
      <c r="C269" s="89"/>
      <c r="D269" t="s" s="90">
        <v>78</v>
      </c>
      <c r="E269" t="s" s="90">
        <v>52</v>
      </c>
      <c r="F269" s="89"/>
      <c r="G269" t="s" s="90">
        <v>53</v>
      </c>
      <c r="H269" s="35"/>
      <c r="I269" s="35"/>
      <c r="J269" s="35"/>
      <c r="K269" s="35"/>
      <c r="L269" s="35"/>
      <c r="M269" s="35"/>
    </row>
    <row r="270" ht="33" customHeight="1">
      <c r="A270" s="9"/>
      <c r="B270" t="s" s="111">
        <v>79</v>
      </c>
      <c r="C270" t="s" s="90">
        <v>54</v>
      </c>
      <c r="D270" s="114">
        <v>12061001385</v>
      </c>
      <c r="E270" t="s" s="90">
        <v>55</v>
      </c>
      <c r="F270" t="s" s="90">
        <v>8</v>
      </c>
      <c r="G270" t="s" s="90">
        <v>8</v>
      </c>
      <c r="H270" s="35"/>
      <c r="I270" s="35"/>
      <c r="J270" s="35"/>
      <c r="K270" s="35"/>
      <c r="L270" s="35"/>
      <c r="M270" s="35"/>
    </row>
    <row r="271" ht="16.5" customHeight="1">
      <c r="A271" s="9"/>
      <c r="B271" t="s" s="111">
        <v>8</v>
      </c>
      <c r="C271" t="s" s="94">
        <v>58</v>
      </c>
      <c r="D271" t="s" s="95">
        <v>8</v>
      </c>
      <c r="E271" s="89"/>
      <c r="F271" t="s" s="96">
        <v>59</v>
      </c>
      <c r="G271" t="s" s="90">
        <v>57</v>
      </c>
      <c r="H271" s="35"/>
      <c r="I271" s="35"/>
      <c r="J271" s="35"/>
      <c r="K271" s="35"/>
      <c r="L271" s="35"/>
      <c r="M271" s="35"/>
    </row>
    <row r="272" ht="13.55" customHeight="1">
      <c r="A272" s="9"/>
      <c r="B272" s="112"/>
      <c r="C272" s="98"/>
      <c r="D272" s="35"/>
      <c r="E272" s="35"/>
      <c r="F272" s="34"/>
      <c r="G272" s="34"/>
      <c r="H272" s="35"/>
      <c r="I272" s="35"/>
      <c r="J272" s="35"/>
      <c r="K272" s="35"/>
      <c r="L272" s="35"/>
      <c r="M272" s="35"/>
    </row>
    <row r="273" ht="13.55" customHeight="1">
      <c r="A273" s="9"/>
      <c r="B273" s="112"/>
      <c r="C273" s="98"/>
      <c r="D273" s="35"/>
      <c r="E273" s="35"/>
      <c r="F273" s="34"/>
      <c r="G273" s="34"/>
      <c r="H273" s="35"/>
      <c r="I273" s="35"/>
      <c r="J273" s="35"/>
      <c r="K273" s="35"/>
      <c r="L273" s="35"/>
      <c r="M273" s="35"/>
    </row>
    <row r="274" ht="13.55" customHeight="1">
      <c r="A274" s="9"/>
      <c r="B274" s="112"/>
      <c r="C274" s="18"/>
      <c r="D274" s="35"/>
      <c r="E274" s="35"/>
      <c r="F274" s="34"/>
      <c r="G274" s="34"/>
      <c r="H274" s="35"/>
      <c r="I274" s="35"/>
      <c r="J274" s="35"/>
      <c r="K274" s="35"/>
      <c r="L274" s="35"/>
      <c r="M274" s="35"/>
    </row>
    <row r="275" ht="13.55" customHeight="1">
      <c r="A275" s="9"/>
      <c r="B275" s="112"/>
      <c r="C275" s="98"/>
      <c r="D275" s="35"/>
      <c r="E275" s="35"/>
      <c r="F275" s="34"/>
      <c r="G275" s="34"/>
      <c r="H275" s="35"/>
      <c r="I275" s="35"/>
      <c r="J275" s="35"/>
      <c r="K275" s="35"/>
      <c r="L275" s="35"/>
      <c r="M275" s="35"/>
    </row>
    <row r="276" ht="13.55" customHeight="1">
      <c r="A276" s="9"/>
      <c r="B276" s="112"/>
      <c r="C276" s="98"/>
      <c r="D276" s="35"/>
      <c r="E276" s="101"/>
      <c r="F276" s="34"/>
      <c r="G276" s="34"/>
      <c r="H276" s="35"/>
      <c r="I276" s="35"/>
      <c r="J276" s="35"/>
      <c r="K276" s="35"/>
      <c r="L276" s="35"/>
      <c r="M276" s="35"/>
    </row>
    <row r="277" ht="13.55" customHeight="1">
      <c r="A277" s="9"/>
      <c r="B277" s="112"/>
      <c r="C277" s="98"/>
      <c r="D277" s="35"/>
      <c r="E277" s="101"/>
      <c r="F277" s="34"/>
      <c r="G277" s="34"/>
      <c r="H277" s="35"/>
      <c r="I277" s="35"/>
      <c r="J277" s="35"/>
      <c r="K277" s="35"/>
      <c r="L277" s="35"/>
      <c r="M277" s="35"/>
    </row>
    <row r="278" ht="13.55" customHeight="1">
      <c r="A278" s="9"/>
      <c r="B278" s="112"/>
      <c r="C278" s="100"/>
      <c r="D278" s="35"/>
      <c r="E278" s="35"/>
      <c r="F278" s="34"/>
      <c r="G278" s="34"/>
      <c r="H278" s="35"/>
      <c r="I278" s="35"/>
      <c r="J278" s="35"/>
      <c r="K278" s="35"/>
      <c r="L278" s="35"/>
      <c r="M278" s="35"/>
    </row>
    <row r="279" ht="13.55" customHeight="1">
      <c r="A279" s="9"/>
      <c r="B279" s="112"/>
      <c r="C279" s="98"/>
      <c r="D279" s="35"/>
      <c r="E279" s="35"/>
      <c r="F279" s="34"/>
      <c r="G279" s="34"/>
      <c r="H279" s="35"/>
      <c r="I279" s="35"/>
      <c r="J279" s="35"/>
      <c r="K279" s="35"/>
      <c r="L279" s="35"/>
      <c r="M279" s="35"/>
    </row>
    <row r="280" ht="13.55" customHeight="1">
      <c r="A280" s="9"/>
      <c r="B280" s="112"/>
      <c r="C280" s="18"/>
      <c r="D280" s="35"/>
      <c r="E280" s="35"/>
      <c r="F280" s="34"/>
      <c r="G280" s="34"/>
      <c r="H280" s="35"/>
      <c r="I280" s="35"/>
      <c r="J280" s="35"/>
      <c r="K280" s="35"/>
      <c r="L280" s="35"/>
      <c r="M280" s="35"/>
    </row>
    <row r="281" ht="13.55" customHeight="1">
      <c r="A281" s="9"/>
      <c r="B281" s="112"/>
      <c r="C281" s="18"/>
      <c r="D281" s="35"/>
      <c r="E281" s="35"/>
      <c r="F281" s="34"/>
      <c r="G281" s="34"/>
      <c r="H281" s="35"/>
      <c r="I281" s="35"/>
      <c r="J281" s="35"/>
      <c r="K281" s="35"/>
      <c r="L281" s="35"/>
      <c r="M281" s="35"/>
    </row>
    <row r="282" ht="13.55" customHeight="1">
      <c r="A282" s="9"/>
      <c r="B282" s="112"/>
      <c r="C282" s="123"/>
      <c r="D282" s="35"/>
      <c r="E282" s="35"/>
      <c r="F282" s="34"/>
      <c r="G282" s="34"/>
      <c r="H282" s="35"/>
      <c r="I282" s="35"/>
      <c r="J282" s="35"/>
      <c r="K282" s="35"/>
      <c r="L282" s="35"/>
      <c r="M282" s="35"/>
    </row>
    <row r="283" ht="13.55" customHeight="1">
      <c r="A283" s="9"/>
      <c r="B283" s="112"/>
      <c r="C283" s="98"/>
      <c r="D283" s="35"/>
      <c r="E283" s="35"/>
      <c r="F283" s="34"/>
      <c r="G283" s="34"/>
      <c r="H283" s="35"/>
      <c r="I283" s="35"/>
      <c r="J283" s="35"/>
      <c r="K283" s="35"/>
      <c r="L283" s="35"/>
      <c r="M283" s="35"/>
    </row>
    <row r="284" ht="13.55" customHeight="1">
      <c r="A284" s="9"/>
      <c r="B284" s="112"/>
      <c r="C284" s="98"/>
      <c r="D284" s="35"/>
      <c r="E284" s="35"/>
      <c r="F284" s="34"/>
      <c r="G284" s="34"/>
      <c r="H284" s="35"/>
      <c r="I284" s="35"/>
      <c r="J284" s="35"/>
      <c r="K284" s="35"/>
      <c r="L284" s="35"/>
      <c r="M284" s="35"/>
    </row>
    <row r="285" ht="13.55" customHeight="1">
      <c r="A285" s="9"/>
      <c r="B285" s="112"/>
      <c r="C285" s="98"/>
      <c r="D285" s="35"/>
      <c r="E285" s="35"/>
      <c r="F285" s="34"/>
      <c r="G285" s="34"/>
      <c r="H285" s="35"/>
      <c r="I285" s="35"/>
      <c r="J285" s="35"/>
      <c r="K285" s="35"/>
      <c r="L285" s="35"/>
      <c r="M285" s="35"/>
    </row>
    <row r="286" ht="13.55" customHeight="1">
      <c r="A286" s="7"/>
      <c r="B286" s="22"/>
      <c r="C286" s="22"/>
      <c r="D286" s="22"/>
      <c r="E286" s="22"/>
      <c r="F286" s="22"/>
      <c r="G286" s="120"/>
      <c r="H286" s="35"/>
      <c r="I286" s="35"/>
      <c r="J286" s="35"/>
      <c r="K286" s="35"/>
      <c r="L286" s="35"/>
      <c r="M286" s="35"/>
    </row>
    <row r="287" ht="13.55" customHeight="1">
      <c r="A287" s="7"/>
      <c r="B287" s="7"/>
      <c r="C287" s="7"/>
      <c r="D287" s="7"/>
      <c r="E287" s="7"/>
      <c r="F287" s="7"/>
      <c r="G287" s="79"/>
      <c r="H287" s="106"/>
      <c r="I287" s="106"/>
      <c r="J287" s="106"/>
      <c r="K287" s="106"/>
      <c r="L287" s="106"/>
      <c r="M287" s="106"/>
    </row>
    <row r="288" ht="15.75" customHeight="1">
      <c r="A288" s="7"/>
      <c r="B288" s="8"/>
      <c r="C288" s="8"/>
      <c r="D288" s="8"/>
      <c r="E288" s="8"/>
      <c r="F288" s="8"/>
      <c r="G288" s="122"/>
      <c r="H288" s="35"/>
      <c r="I288" s="35"/>
      <c r="J288" s="35"/>
      <c r="K288" s="35"/>
      <c r="L288" s="35"/>
      <c r="M288" s="35"/>
    </row>
    <row r="289" ht="18" customHeight="1">
      <c r="A289" s="9"/>
      <c r="B289" t="s" s="107">
        <v>77</v>
      </c>
      <c r="C289" s="108"/>
      <c r="D289" s="85"/>
      <c r="E289" s="84"/>
      <c r="F289" s="84"/>
      <c r="G289" s="84"/>
      <c r="H289" s="35"/>
      <c r="I289" s="35"/>
      <c r="J289" s="35"/>
      <c r="K289" s="35"/>
      <c r="L289" s="35"/>
      <c r="M289" s="35"/>
    </row>
    <row r="290" ht="18" customHeight="1">
      <c r="A290" s="9"/>
      <c r="B290" t="s" s="86">
        <v>188</v>
      </c>
      <c r="C290" s="87"/>
      <c r="D290" s="88"/>
      <c r="E290" s="88"/>
      <c r="F290" s="88"/>
      <c r="G290" s="113"/>
      <c r="H290" s="35"/>
      <c r="I290" s="35"/>
      <c r="J290" s="35"/>
      <c r="K290" s="35"/>
      <c r="L290" s="35"/>
      <c r="M290" s="35"/>
    </row>
    <row r="291" ht="16.5" customHeight="1">
      <c r="A291" s="9"/>
      <c r="B291" s="110"/>
      <c r="C291" s="89"/>
      <c r="D291" t="s" s="90">
        <v>78</v>
      </c>
      <c r="E291" t="s" s="90">
        <v>52</v>
      </c>
      <c r="F291" s="89"/>
      <c r="G291" t="s" s="90">
        <v>53</v>
      </c>
      <c r="H291" s="35"/>
      <c r="I291" s="35"/>
      <c r="J291" s="35"/>
      <c r="K291" s="35"/>
      <c r="L291" s="35"/>
      <c r="M291" s="35"/>
    </row>
    <row r="292" ht="33" customHeight="1">
      <c r="A292" s="9"/>
      <c r="B292" t="s" s="111">
        <v>79</v>
      </c>
      <c r="C292" t="s" s="90">
        <v>54</v>
      </c>
      <c r="D292" s="114">
        <v>12061001385</v>
      </c>
      <c r="E292" t="s" s="90">
        <v>55</v>
      </c>
      <c r="F292" t="s" s="90">
        <v>8</v>
      </c>
      <c r="G292" t="s" s="90">
        <v>8</v>
      </c>
      <c r="H292" s="35"/>
      <c r="I292" s="35"/>
      <c r="J292" s="35"/>
      <c r="K292" s="35"/>
      <c r="L292" s="35"/>
      <c r="M292" s="35"/>
    </row>
    <row r="293" ht="16.5" customHeight="1">
      <c r="A293" s="9"/>
      <c r="B293" t="s" s="111">
        <v>8</v>
      </c>
      <c r="C293" t="s" s="94">
        <v>58</v>
      </c>
      <c r="D293" t="s" s="95">
        <v>8</v>
      </c>
      <c r="E293" s="89"/>
      <c r="F293" t="s" s="96">
        <v>59</v>
      </c>
      <c r="G293" t="s" s="90">
        <v>57</v>
      </c>
      <c r="H293" s="35"/>
      <c r="I293" s="35"/>
      <c r="J293" s="35"/>
      <c r="K293" s="35"/>
      <c r="L293" s="35"/>
      <c r="M293" s="35"/>
    </row>
    <row r="294" ht="13.55" customHeight="1">
      <c r="A294" s="9"/>
      <c r="B294" s="112"/>
      <c r="C294" s="98"/>
      <c r="D294" s="35"/>
      <c r="E294" s="35"/>
      <c r="F294" s="34"/>
      <c r="G294" s="34"/>
      <c r="H294" s="35"/>
      <c r="I294" s="35"/>
      <c r="J294" s="35"/>
      <c r="K294" s="35"/>
      <c r="L294" s="35"/>
      <c r="M294" s="35"/>
    </row>
    <row r="295" ht="13.55" customHeight="1">
      <c r="A295" s="9"/>
      <c r="B295" s="112"/>
      <c r="C295" s="98"/>
      <c r="D295" s="35"/>
      <c r="E295" s="35"/>
      <c r="F295" s="34"/>
      <c r="G295" s="34"/>
      <c r="H295" s="35"/>
      <c r="I295" s="35"/>
      <c r="J295" s="35"/>
      <c r="K295" s="35"/>
      <c r="L295" s="35"/>
      <c r="M295" s="35"/>
    </row>
    <row r="296" ht="13.55" customHeight="1">
      <c r="A296" s="9"/>
      <c r="B296" s="112"/>
      <c r="C296" s="18"/>
      <c r="D296" s="35"/>
      <c r="E296" s="35"/>
      <c r="F296" s="34"/>
      <c r="G296" s="34"/>
      <c r="H296" s="35"/>
      <c r="I296" s="35"/>
      <c r="J296" s="35"/>
      <c r="K296" s="35"/>
      <c r="L296" s="35"/>
      <c r="M296" s="35"/>
    </row>
    <row r="297" ht="13.55" customHeight="1">
      <c r="A297" s="9"/>
      <c r="B297" s="112"/>
      <c r="C297" s="98"/>
      <c r="D297" s="35"/>
      <c r="E297" s="35"/>
      <c r="F297" s="34"/>
      <c r="G297" s="34"/>
      <c r="H297" s="35"/>
      <c r="I297" s="35"/>
      <c r="J297" s="35"/>
      <c r="K297" s="35"/>
      <c r="L297" s="35"/>
      <c r="M297" s="35"/>
    </row>
    <row r="298" ht="13.55" customHeight="1">
      <c r="A298" s="9"/>
      <c r="B298" s="112"/>
      <c r="C298" s="98"/>
      <c r="D298" s="35"/>
      <c r="E298" s="101"/>
      <c r="F298" s="34"/>
      <c r="G298" s="34"/>
      <c r="H298" s="35"/>
      <c r="I298" s="35"/>
      <c r="J298" s="35"/>
      <c r="K298" s="35"/>
      <c r="L298" s="35"/>
      <c r="M298" s="35"/>
    </row>
    <row r="299" ht="13.55" customHeight="1">
      <c r="A299" s="9"/>
      <c r="B299" s="112"/>
      <c r="C299" s="98"/>
      <c r="D299" s="35"/>
      <c r="E299" s="101"/>
      <c r="F299" s="34"/>
      <c r="G299" s="34"/>
      <c r="H299" s="35"/>
      <c r="I299" s="35"/>
      <c r="J299" s="35"/>
      <c r="K299" s="35"/>
      <c r="L299" s="35"/>
      <c r="M299" s="35"/>
    </row>
    <row r="300" ht="13.55" customHeight="1">
      <c r="A300" s="9"/>
      <c r="B300" s="112"/>
      <c r="C300" s="100"/>
      <c r="D300" s="35"/>
      <c r="E300" s="35"/>
      <c r="F300" s="34"/>
      <c r="G300" s="34"/>
      <c r="H300" s="35"/>
      <c r="I300" s="35"/>
      <c r="J300" s="35"/>
      <c r="K300" s="35"/>
      <c r="L300" s="35"/>
      <c r="M300" s="35"/>
    </row>
    <row r="301" ht="13.55" customHeight="1">
      <c r="A301" s="9"/>
      <c r="B301" s="112"/>
      <c r="C301" s="98"/>
      <c r="D301" s="35"/>
      <c r="E301" s="35"/>
      <c r="F301" s="34"/>
      <c r="G301" s="34"/>
      <c r="H301" s="35"/>
      <c r="I301" s="35"/>
      <c r="J301" s="35"/>
      <c r="K301" s="35"/>
      <c r="L301" s="35"/>
      <c r="M301" s="35"/>
    </row>
    <row r="302" ht="13.55" customHeight="1">
      <c r="A302" s="9"/>
      <c r="B302" s="112"/>
      <c r="C302" s="18"/>
      <c r="D302" s="35"/>
      <c r="E302" s="35"/>
      <c r="F302" s="34"/>
      <c r="G302" s="34"/>
      <c r="H302" s="35"/>
      <c r="I302" s="35"/>
      <c r="J302" s="35"/>
      <c r="K302" s="35"/>
      <c r="L302" s="35"/>
      <c r="M302" s="35"/>
    </row>
    <row r="303" ht="13.55" customHeight="1">
      <c r="A303" s="9"/>
      <c r="B303" s="112"/>
      <c r="C303" s="18"/>
      <c r="D303" s="35"/>
      <c r="E303" s="35"/>
      <c r="F303" s="34"/>
      <c r="G303" s="34"/>
      <c r="H303" s="35"/>
      <c r="I303" s="35"/>
      <c r="J303" s="35"/>
      <c r="K303" s="35"/>
      <c r="L303" s="35"/>
      <c r="M303" s="35"/>
    </row>
    <row r="304" ht="13.55" customHeight="1">
      <c r="A304" s="9"/>
      <c r="B304" s="112"/>
      <c r="C304" s="98"/>
      <c r="D304" s="35"/>
      <c r="E304" s="35"/>
      <c r="F304" s="34"/>
      <c r="G304" s="34"/>
      <c r="H304" s="35"/>
      <c r="I304" s="35"/>
      <c r="J304" s="35"/>
      <c r="K304" s="35"/>
      <c r="L304" s="35"/>
      <c r="M304" s="35"/>
    </row>
    <row r="305" ht="13.55" customHeight="1">
      <c r="A305" s="9"/>
      <c r="B305" s="112"/>
      <c r="C305" s="98"/>
      <c r="D305" s="35"/>
      <c r="E305" s="35"/>
      <c r="F305" s="34"/>
      <c r="G305" s="34"/>
      <c r="H305" s="35"/>
      <c r="I305" s="35"/>
      <c r="J305" s="35"/>
      <c r="K305" s="35"/>
      <c r="L305" s="35"/>
      <c r="M305" s="35"/>
    </row>
    <row r="306" ht="13.55" customHeight="1">
      <c r="A306" s="9"/>
      <c r="B306" s="112"/>
      <c r="C306" s="98"/>
      <c r="D306" s="35"/>
      <c r="E306" s="35"/>
      <c r="F306" s="34"/>
      <c r="G306" s="34"/>
      <c r="H306" s="35"/>
      <c r="I306" s="35"/>
      <c r="J306" s="35"/>
      <c r="K306" s="35"/>
      <c r="L306" s="35"/>
      <c r="M306" s="35"/>
    </row>
    <row r="307" ht="13.55" customHeight="1">
      <c r="A307" s="9"/>
      <c r="B307" s="112"/>
      <c r="C307" s="98"/>
      <c r="D307" s="35"/>
      <c r="E307" s="35"/>
      <c r="F307" s="34"/>
      <c r="G307" s="34"/>
      <c r="H307" s="99" cm="1">
        <f t="array" ref="H307">I307+J307+K307+L307</f>
        <v>1352584.83</v>
      </c>
      <c r="I307" s="99" cm="1">
        <f t="array" ref="I307">I287+I263+I238+I209+I183+I157+I126+I102+I80+I48+I27</f>
        <v>80100</v>
      </c>
      <c r="J307" s="99" cm="1">
        <f t="array" ref="J307">J287+J263+J238+J209+J183+J157+J126+J102+J80+J48+J27</f>
        <v>1109250</v>
      </c>
      <c r="K307" s="99" cm="1">
        <f t="array" ref="K307">K287+K263+K238+K209+K183+K157+K126+K102+K80+K48+K27</f>
        <v>119450</v>
      </c>
      <c r="L307" s="99" cm="1">
        <f t="array" ref="L307">L287+L263+L238+L209+L183+L157+L126+L102+L80+L48+L27</f>
        <v>43784.83</v>
      </c>
      <c r="M307" s="99" cm="1">
        <f t="array" ref="M307">M287+M263+M238+M209+M183+M157+M126+M102+M80+M48+M27</f>
        <v>0</v>
      </c>
    </row>
  </sheetData>
  <mergeCells count="1">
    <mergeCell ref="C4:C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Y584"/>
  <sheetViews>
    <sheetView workbookViewId="0" showGridLines="0" defaultGridColor="1"/>
  </sheetViews>
  <sheetFormatPr defaultColWidth="10.8333" defaultRowHeight="15" customHeight="1" outlineLevelRow="0" outlineLevelCol="0"/>
  <cols>
    <col min="1" max="2" width="10.8516" style="124" customWidth="1"/>
    <col min="3" max="3" width="32" style="124" customWidth="1"/>
    <col min="4" max="4" width="42.6719" style="124" customWidth="1"/>
    <col min="5" max="6" width="10.8516" style="124" customWidth="1"/>
    <col min="7" max="7" width="14.6719" style="124" customWidth="1"/>
    <col min="8" max="12" width="10.8516" style="124" customWidth="1"/>
    <col min="13" max="13" width="12.5" style="124" customWidth="1"/>
    <col min="14" max="14" width="13.1719" style="124" customWidth="1"/>
    <col min="15" max="16" width="10.8516" style="124" customWidth="1"/>
    <col min="17" max="18" width="12.5" style="124" customWidth="1"/>
    <col min="19" max="19" width="14.5" style="124" customWidth="1"/>
    <col min="20" max="20" width="14" style="124" customWidth="1"/>
    <col min="21" max="22" width="13.6719" style="124" customWidth="1"/>
    <col min="23" max="23" width="13" style="124" customWidth="1"/>
    <col min="24" max="24" width="12.5" style="124" customWidth="1"/>
    <col min="25" max="25" width="14.1719" style="124" customWidth="1"/>
    <col min="26" max="16384" width="10.8516" style="124" customWidth="1"/>
  </cols>
  <sheetData>
    <row r="1" ht="18" customHeight="1">
      <c r="A1" s="79"/>
      <c r="B1" t="s" s="125">
        <v>77</v>
      </c>
      <c r="C1" s="87"/>
      <c r="D1" s="88"/>
      <c r="E1" s="113"/>
      <c r="F1" s="113"/>
      <c r="G1" s="113"/>
      <c r="H1" s="35"/>
      <c r="I1" s="35"/>
      <c r="J1" s="35"/>
      <c r="K1" s="35"/>
      <c r="L1" s="35"/>
      <c r="M1" s="35"/>
      <c r="N1" s="35"/>
      <c r="O1" s="35"/>
      <c r="P1" s="35"/>
      <c r="Q1" s="35"/>
      <c r="R1" s="35"/>
      <c r="S1" s="35"/>
      <c r="T1" s="35"/>
      <c r="U1" s="35"/>
      <c r="V1" s="126"/>
      <c r="W1" s="127"/>
      <c r="X1" s="128"/>
      <c r="Y1" s="7"/>
    </row>
    <row r="2" ht="18" customHeight="1">
      <c r="A2" s="79"/>
      <c r="B2" t="s" s="125">
        <v>8</v>
      </c>
      <c r="C2" t="s" s="109">
        <v>8</v>
      </c>
      <c r="D2" s="88"/>
      <c r="E2" s="88"/>
      <c r="F2" s="88"/>
      <c r="G2" s="88"/>
      <c r="H2" t="s" s="91">
        <v>21</v>
      </c>
      <c r="I2" t="s" s="91">
        <v>22</v>
      </c>
      <c r="J2" t="s" s="91">
        <v>23</v>
      </c>
      <c r="K2" t="s" s="91">
        <v>24</v>
      </c>
      <c r="L2" t="s" s="91">
        <v>25</v>
      </c>
      <c r="M2" t="s" s="91">
        <v>26</v>
      </c>
      <c r="N2" t="s" s="91">
        <v>27</v>
      </c>
      <c r="O2" t="s" s="91">
        <v>28</v>
      </c>
      <c r="P2" t="s" s="91">
        <v>29</v>
      </c>
      <c r="Q2" t="s" s="91">
        <v>30</v>
      </c>
      <c r="R2" t="s" s="91">
        <v>31</v>
      </c>
      <c r="S2" t="s" s="129">
        <v>32</v>
      </c>
      <c r="T2" t="s" s="129">
        <v>33</v>
      </c>
      <c r="U2" t="s" s="129">
        <v>34</v>
      </c>
      <c r="V2" t="s" s="91">
        <v>35</v>
      </c>
      <c r="W2" t="s" s="130">
        <v>36</v>
      </c>
      <c r="X2" s="128"/>
      <c r="Y2" s="7"/>
    </row>
    <row r="3" ht="16.5" customHeight="1">
      <c r="A3" s="79"/>
      <c r="B3" s="131"/>
      <c r="C3" s="89"/>
      <c r="D3" t="s" s="90">
        <v>190</v>
      </c>
      <c r="E3" t="s" s="90">
        <v>52</v>
      </c>
      <c r="F3" s="89"/>
      <c r="G3" t="s" s="90">
        <v>52</v>
      </c>
      <c r="H3" s="35"/>
      <c r="I3" s="35"/>
      <c r="J3" s="35"/>
      <c r="K3" s="35"/>
      <c r="L3" s="35"/>
      <c r="M3" s="35"/>
      <c r="N3" s="35"/>
      <c r="O3" s="35"/>
      <c r="P3" s="35"/>
      <c r="Q3" s="35"/>
      <c r="R3" s="35"/>
      <c r="S3" s="35"/>
      <c r="T3" s="35"/>
      <c r="U3" s="35"/>
      <c r="V3" s="126"/>
      <c r="W3" s="127"/>
      <c r="X3" s="128"/>
      <c r="Y3" s="7"/>
    </row>
    <row r="4" ht="16.5" customHeight="1">
      <c r="A4" s="79"/>
      <c r="B4" t="s" s="90">
        <v>79</v>
      </c>
      <c r="C4" t="s" s="90">
        <v>8</v>
      </c>
      <c r="D4" s="89"/>
      <c r="E4" t="s" s="90">
        <v>55</v>
      </c>
      <c r="F4" t="s" s="90">
        <v>8</v>
      </c>
      <c r="G4" t="s" s="90">
        <v>191</v>
      </c>
      <c r="H4" s="35"/>
      <c r="I4" s="35"/>
      <c r="J4" s="35"/>
      <c r="K4" s="35"/>
      <c r="L4" s="35"/>
      <c r="M4" s="35"/>
      <c r="N4" s="35"/>
      <c r="O4" s="35"/>
      <c r="P4" s="35"/>
      <c r="Q4" s="35"/>
      <c r="R4" s="35"/>
      <c r="S4" s="35"/>
      <c r="T4" s="35"/>
      <c r="U4" s="35"/>
      <c r="V4" s="126"/>
      <c r="W4" s="127"/>
      <c r="X4" s="128"/>
      <c r="Y4" s="7"/>
    </row>
    <row r="5" ht="16.5" customHeight="1">
      <c r="A5" s="79"/>
      <c r="B5" t="s" s="132">
        <v>8</v>
      </c>
      <c r="C5" t="s" s="94">
        <v>58</v>
      </c>
      <c r="D5" t="s" s="95">
        <v>8</v>
      </c>
      <c r="E5" s="89"/>
      <c r="F5" t="s" s="96">
        <v>8</v>
      </c>
      <c r="G5" t="s" s="96">
        <v>8</v>
      </c>
      <c r="H5" s="35"/>
      <c r="I5" s="35"/>
      <c r="J5" s="35"/>
      <c r="K5" s="35"/>
      <c r="L5" s="35"/>
      <c r="M5" s="35"/>
      <c r="N5" s="35"/>
      <c r="O5" s="35"/>
      <c r="P5" s="35"/>
      <c r="Q5" s="35"/>
      <c r="R5" s="35"/>
      <c r="S5" s="35"/>
      <c r="T5" s="35"/>
      <c r="U5" s="35"/>
      <c r="V5" s="126"/>
      <c r="W5" s="127"/>
      <c r="X5" s="128"/>
      <c r="Y5" s="7"/>
    </row>
    <row r="6" ht="13.55" customHeight="1">
      <c r="A6" s="79"/>
      <c r="B6" s="101"/>
      <c r="C6" t="s" s="80">
        <v>99</v>
      </c>
      <c r="D6" t="s" s="80">
        <v>192</v>
      </c>
      <c r="E6" s="34"/>
      <c r="F6" s="34"/>
      <c r="G6" s="34">
        <v>700</v>
      </c>
      <c r="H6" s="34" cm="1">
        <f t="array" ref="H6">G6</f>
        <v>700</v>
      </c>
      <c r="I6" s="34"/>
      <c r="J6" s="34"/>
      <c r="K6" s="34"/>
      <c r="L6" s="35"/>
      <c r="M6" s="35"/>
      <c r="N6" s="35"/>
      <c r="O6" s="35"/>
      <c r="P6" s="35"/>
      <c r="Q6" s="34"/>
      <c r="R6" s="35"/>
      <c r="S6" s="35"/>
      <c r="T6" s="35"/>
      <c r="U6" s="35"/>
      <c r="V6" s="126"/>
      <c r="W6" s="127"/>
      <c r="X6" s="128"/>
      <c r="Y6" s="7"/>
    </row>
    <row r="7" ht="13.55" customHeight="1">
      <c r="A7" s="79"/>
      <c r="B7" s="101"/>
      <c r="C7" t="s" s="80">
        <v>99</v>
      </c>
      <c r="D7" t="s" s="80">
        <v>193</v>
      </c>
      <c r="E7" s="34"/>
      <c r="F7" s="34"/>
      <c r="G7" s="34">
        <v>700</v>
      </c>
      <c r="H7" s="34" cm="1">
        <f t="array" ref="H7">G7</f>
        <v>700</v>
      </c>
      <c r="I7" s="34"/>
      <c r="J7" s="34"/>
      <c r="K7" s="34"/>
      <c r="L7" s="35"/>
      <c r="M7" s="35"/>
      <c r="N7" s="35"/>
      <c r="O7" s="35"/>
      <c r="P7" s="35"/>
      <c r="Q7" s="34"/>
      <c r="R7" s="35"/>
      <c r="S7" s="35"/>
      <c r="T7" s="35"/>
      <c r="U7" s="35"/>
      <c r="V7" s="126"/>
      <c r="W7" s="127"/>
      <c r="X7" s="128"/>
      <c r="Y7" s="7"/>
    </row>
    <row r="8" ht="13.55" customHeight="1">
      <c r="A8" s="79"/>
      <c r="B8" s="101"/>
      <c r="C8" t="s" s="80">
        <v>99</v>
      </c>
      <c r="D8" t="s" s="80">
        <v>69</v>
      </c>
      <c r="E8" s="34"/>
      <c r="F8" s="34"/>
      <c r="G8" s="34">
        <v>2150.75</v>
      </c>
      <c r="H8" s="35"/>
      <c r="I8" s="35"/>
      <c r="J8" t="s" s="80">
        <v>8</v>
      </c>
      <c r="K8" s="34"/>
      <c r="L8" s="35"/>
      <c r="M8" s="35"/>
      <c r="N8" s="35"/>
      <c r="O8" s="34" cm="1">
        <f t="array" ref="O8">G8</f>
        <v>2150.75</v>
      </c>
      <c r="P8" s="35"/>
      <c r="Q8" t="s" s="80">
        <v>8</v>
      </c>
      <c r="R8" s="35"/>
      <c r="S8" s="35"/>
      <c r="T8" s="35"/>
      <c r="U8" s="35"/>
      <c r="V8" s="126"/>
      <c r="W8" s="127"/>
      <c r="X8" s="128"/>
      <c r="Y8" s="7"/>
    </row>
    <row r="9" ht="13.55" customHeight="1">
      <c r="A9" s="79"/>
      <c r="B9" s="101"/>
      <c r="C9" t="s" s="80">
        <v>99</v>
      </c>
      <c r="D9" t="s" s="80">
        <v>194</v>
      </c>
      <c r="E9" s="34"/>
      <c r="F9" s="34"/>
      <c r="G9" s="34">
        <v>344.12</v>
      </c>
      <c r="H9" s="35"/>
      <c r="I9" s="35"/>
      <c r="J9" s="35"/>
      <c r="K9" s="35"/>
      <c r="L9" s="35"/>
      <c r="M9" s="35"/>
      <c r="N9" s="35"/>
      <c r="O9" s="35"/>
      <c r="P9" s="34" cm="1">
        <f t="array" ref="P9">G9</f>
        <v>344.12</v>
      </c>
      <c r="Q9" s="35"/>
      <c r="R9" s="35"/>
      <c r="S9" s="35"/>
      <c r="T9" s="35"/>
      <c r="U9" s="35"/>
      <c r="V9" s="126"/>
      <c r="W9" s="127"/>
      <c r="X9" s="128"/>
      <c r="Y9" s="7"/>
    </row>
    <row r="10" ht="13.55" customHeight="1">
      <c r="A10" s="79"/>
      <c r="B10" s="101"/>
      <c r="C10" t="s" s="80">
        <v>99</v>
      </c>
      <c r="D10" t="s" s="80">
        <v>69</v>
      </c>
      <c r="E10" s="34"/>
      <c r="F10" s="34"/>
      <c r="G10" s="34">
        <v>540.55</v>
      </c>
      <c r="H10" s="35"/>
      <c r="I10" s="35"/>
      <c r="J10" s="35"/>
      <c r="K10" s="35"/>
      <c r="L10" s="35"/>
      <c r="M10" s="35"/>
      <c r="N10" s="35"/>
      <c r="O10" s="34" cm="1">
        <f t="array" ref="O10">G10</f>
        <v>540.55</v>
      </c>
      <c r="P10" s="35"/>
      <c r="Q10" s="35"/>
      <c r="R10" s="35"/>
      <c r="S10" s="35"/>
      <c r="T10" s="35"/>
      <c r="U10" s="35"/>
      <c r="V10" s="126"/>
      <c r="W10" s="127"/>
      <c r="X10" s="128"/>
      <c r="Y10" s="7"/>
    </row>
    <row r="11" ht="13.55" customHeight="1">
      <c r="A11" s="79"/>
      <c r="B11" s="101"/>
      <c r="C11" t="s" s="80">
        <v>99</v>
      </c>
      <c r="D11" t="s" s="80">
        <v>194</v>
      </c>
      <c r="E11" s="34"/>
      <c r="F11" s="34"/>
      <c r="G11" s="34">
        <v>86.45999999999999</v>
      </c>
      <c r="H11" s="35"/>
      <c r="I11" s="35"/>
      <c r="J11" s="35"/>
      <c r="K11" s="35"/>
      <c r="L11" s="35"/>
      <c r="M11" s="35"/>
      <c r="N11" s="35"/>
      <c r="O11" s="35"/>
      <c r="P11" s="34" cm="1">
        <f t="array" ref="P11">G11</f>
        <v>86.45999999999999</v>
      </c>
      <c r="Q11" s="35"/>
      <c r="R11" s="35"/>
      <c r="S11" s="35"/>
      <c r="T11" s="35"/>
      <c r="U11" s="35"/>
      <c r="V11" s="126"/>
      <c r="W11" s="127"/>
      <c r="X11" s="128"/>
      <c r="Y11" s="7"/>
    </row>
    <row r="12" ht="13.55" customHeight="1">
      <c r="A12" s="79"/>
      <c r="B12" s="101"/>
      <c r="C12" t="s" s="80">
        <v>99</v>
      </c>
      <c r="D12" t="s" s="80">
        <v>69</v>
      </c>
      <c r="E12" s="34"/>
      <c r="F12" s="34"/>
      <c r="G12" s="34">
        <v>833.38</v>
      </c>
      <c r="H12" s="35"/>
      <c r="I12" s="35"/>
      <c r="J12" s="35"/>
      <c r="K12" s="35"/>
      <c r="L12" s="35"/>
      <c r="M12" s="35"/>
      <c r="N12" s="35"/>
      <c r="O12" s="34" cm="1">
        <f t="array" ref="O12">G12</f>
        <v>833.38</v>
      </c>
      <c r="P12" s="35"/>
      <c r="Q12" s="35"/>
      <c r="R12" s="35"/>
      <c r="S12" s="35"/>
      <c r="T12" s="35"/>
      <c r="U12" s="35"/>
      <c r="V12" s="126"/>
      <c r="W12" s="127"/>
      <c r="X12" s="128"/>
      <c r="Y12" s="7"/>
    </row>
    <row r="13" ht="13.55" customHeight="1">
      <c r="A13" s="79"/>
      <c r="B13" s="101"/>
      <c r="C13" t="s" s="80">
        <v>99</v>
      </c>
      <c r="D13" t="s" s="80">
        <v>194</v>
      </c>
      <c r="E13" s="34"/>
      <c r="F13" s="34"/>
      <c r="G13" s="34">
        <v>133.34</v>
      </c>
      <c r="H13" s="35"/>
      <c r="I13" s="35"/>
      <c r="J13" s="35"/>
      <c r="K13" s="35"/>
      <c r="L13" s="35"/>
      <c r="M13" s="35"/>
      <c r="N13" s="35"/>
      <c r="O13" s="35"/>
      <c r="P13" s="34" cm="1">
        <f t="array" ref="P13">G13</f>
        <v>133.34</v>
      </c>
      <c r="Q13" s="35"/>
      <c r="R13" s="35"/>
      <c r="S13" s="35"/>
      <c r="T13" s="35"/>
      <c r="U13" s="35"/>
      <c r="V13" s="126"/>
      <c r="W13" s="127"/>
      <c r="X13" s="128"/>
      <c r="Y13" s="7"/>
    </row>
    <row r="14" ht="13.55" customHeight="1">
      <c r="A14" s="79"/>
      <c r="B14" s="101"/>
      <c r="C14" t="s" s="80">
        <v>195</v>
      </c>
      <c r="D14" t="s" s="80">
        <v>196</v>
      </c>
      <c r="E14" s="34"/>
      <c r="F14" s="34"/>
      <c r="G14" s="34">
        <v>4570</v>
      </c>
      <c r="H14" s="35"/>
      <c r="I14" s="35"/>
      <c r="J14" s="35"/>
      <c r="K14" s="35"/>
      <c r="L14" s="34" cm="1">
        <f t="array" ref="L14">G14</f>
        <v>4570</v>
      </c>
      <c r="M14" s="35"/>
      <c r="N14" s="35"/>
      <c r="O14" s="35"/>
      <c r="P14" s="35"/>
      <c r="Q14" s="35"/>
      <c r="R14" s="35"/>
      <c r="S14" s="35"/>
      <c r="T14" s="35"/>
      <c r="U14" s="35"/>
      <c r="V14" s="126"/>
      <c r="W14" s="127"/>
      <c r="X14" s="128"/>
      <c r="Y14" s="7"/>
    </row>
    <row r="15" ht="13.55" customHeight="1">
      <c r="A15" s="79"/>
      <c r="B15" s="101"/>
      <c r="C15" t="s" s="80">
        <v>197</v>
      </c>
      <c r="D15" t="s" s="80">
        <v>198</v>
      </c>
      <c r="E15" s="34"/>
      <c r="F15" s="34"/>
      <c r="G15" s="34">
        <v>14000.42</v>
      </c>
      <c r="H15" s="35"/>
      <c r="I15" s="35"/>
      <c r="J15" s="35"/>
      <c r="K15" s="35"/>
      <c r="L15" s="35"/>
      <c r="M15" s="34" cm="1">
        <f t="array" ref="M15">G15</f>
        <v>14000.42</v>
      </c>
      <c r="N15" s="35"/>
      <c r="O15" s="35"/>
      <c r="P15" s="35"/>
      <c r="Q15" s="35"/>
      <c r="R15" s="35"/>
      <c r="S15" s="35"/>
      <c r="T15" s="35"/>
      <c r="U15" s="35"/>
      <c r="V15" s="126"/>
      <c r="W15" s="127"/>
      <c r="X15" s="128"/>
      <c r="Y15" s="7"/>
    </row>
    <row r="16" ht="13.55" customHeight="1">
      <c r="A16" s="79"/>
      <c r="B16" s="101"/>
      <c r="C16" t="s" s="80">
        <v>99</v>
      </c>
      <c r="D16" t="s" s="80">
        <v>199</v>
      </c>
      <c r="E16" s="34"/>
      <c r="F16" s="34"/>
      <c r="G16" s="34">
        <v>10</v>
      </c>
      <c r="H16" s="35"/>
      <c r="I16" s="35"/>
      <c r="J16" s="35"/>
      <c r="K16" s="35"/>
      <c r="L16" s="35"/>
      <c r="M16" s="35"/>
      <c r="N16" s="35"/>
      <c r="O16" s="34" cm="1">
        <f t="array" ref="O16">G16</f>
        <v>10</v>
      </c>
      <c r="P16" s="35"/>
      <c r="Q16" s="35"/>
      <c r="R16" s="35"/>
      <c r="S16" s="35"/>
      <c r="T16" s="35"/>
      <c r="U16" s="35"/>
      <c r="V16" s="126"/>
      <c r="W16" s="127"/>
      <c r="X16" s="128"/>
      <c r="Y16" s="7"/>
    </row>
    <row r="17" ht="13.55" customHeight="1">
      <c r="A17" s="79"/>
      <c r="B17" s="101"/>
      <c r="C17" t="s" s="80">
        <v>99</v>
      </c>
      <c r="D17" t="s" s="80">
        <v>200</v>
      </c>
      <c r="E17" s="34"/>
      <c r="F17" s="34"/>
      <c r="G17" s="34">
        <v>1.6</v>
      </c>
      <c r="H17" s="35"/>
      <c r="I17" s="35"/>
      <c r="J17" s="35"/>
      <c r="K17" s="35"/>
      <c r="L17" s="35"/>
      <c r="M17" s="35"/>
      <c r="N17" s="35"/>
      <c r="O17" s="35"/>
      <c r="P17" s="34" cm="1">
        <f t="array" ref="P17">G17</f>
        <v>1.6</v>
      </c>
      <c r="Q17" s="35"/>
      <c r="R17" s="35"/>
      <c r="S17" s="35"/>
      <c r="T17" s="35"/>
      <c r="U17" s="35"/>
      <c r="V17" s="126"/>
      <c r="W17" s="127"/>
      <c r="X17" s="128"/>
      <c r="Y17" s="7"/>
    </row>
    <row r="18" ht="13.55" customHeight="1">
      <c r="A18" s="79"/>
      <c r="B18" s="101"/>
      <c r="C18" t="s" s="80">
        <v>201</v>
      </c>
      <c r="D18" t="s" s="80">
        <v>202</v>
      </c>
      <c r="E18" s="34"/>
      <c r="F18" t="s" s="80">
        <v>8</v>
      </c>
      <c r="G18" s="34">
        <v>6032</v>
      </c>
      <c r="H18" s="35"/>
      <c r="I18" s="35"/>
      <c r="J18" s="34" cm="1">
        <f t="array" ref="J18">G18</f>
        <v>6032</v>
      </c>
      <c r="K18" s="34"/>
      <c r="L18" s="35"/>
      <c r="M18" s="35"/>
      <c r="N18" s="35"/>
      <c r="O18" s="35"/>
      <c r="P18" s="35"/>
      <c r="Q18" t="s" s="80">
        <v>8</v>
      </c>
      <c r="R18" s="35"/>
      <c r="S18" s="35"/>
      <c r="T18" s="35"/>
      <c r="U18" s="35"/>
      <c r="V18" s="126"/>
      <c r="W18" s="127"/>
      <c r="X18" s="128"/>
      <c r="Y18" s="7"/>
    </row>
    <row r="19" ht="13.55" customHeight="1">
      <c r="A19" s="79"/>
      <c r="B19" s="101"/>
      <c r="C19" t="s" s="80">
        <v>203</v>
      </c>
      <c r="D19" t="s" s="80">
        <v>204</v>
      </c>
      <c r="E19" s="34"/>
      <c r="F19" s="34"/>
      <c r="G19" s="34">
        <v>50000</v>
      </c>
      <c r="H19" s="35"/>
      <c r="I19" s="35"/>
      <c r="J19" s="35"/>
      <c r="K19" s="35"/>
      <c r="L19" s="35"/>
      <c r="M19" s="35"/>
      <c r="N19" s="34" cm="1">
        <f t="array" ref="N19">G19</f>
        <v>50000</v>
      </c>
      <c r="O19" s="35"/>
      <c r="P19" s="35"/>
      <c r="Q19" s="35"/>
      <c r="R19" s="35"/>
      <c r="S19" s="35"/>
      <c r="T19" s="35"/>
      <c r="U19" s="35"/>
      <c r="V19" s="126"/>
      <c r="W19" s="127"/>
      <c r="X19" s="128"/>
      <c r="Y19" s="7"/>
    </row>
    <row r="20" ht="13.55" customHeight="1">
      <c r="A20" s="79"/>
      <c r="B20" s="101"/>
      <c r="C20" t="s" s="80">
        <v>99</v>
      </c>
      <c r="D20" t="s" s="80">
        <v>199</v>
      </c>
      <c r="E20" s="34"/>
      <c r="F20" s="34"/>
      <c r="G20" s="34">
        <v>12</v>
      </c>
      <c r="H20" s="35"/>
      <c r="I20" s="35"/>
      <c r="J20" s="35"/>
      <c r="K20" s="35"/>
      <c r="L20" s="35"/>
      <c r="M20" s="35"/>
      <c r="N20" s="35"/>
      <c r="O20" s="34" cm="1">
        <f t="array" ref="O20">G20</f>
        <v>12</v>
      </c>
      <c r="P20" s="35"/>
      <c r="Q20" s="35"/>
      <c r="R20" s="35"/>
      <c r="S20" s="35"/>
      <c r="T20" s="35"/>
      <c r="U20" s="35"/>
      <c r="V20" s="126"/>
      <c r="W20" s="127"/>
      <c r="X20" s="128"/>
      <c r="Y20" s="7"/>
    </row>
    <row r="21" ht="13.55" customHeight="1">
      <c r="A21" s="79"/>
      <c r="B21" s="101"/>
      <c r="C21" t="s" s="80">
        <v>99</v>
      </c>
      <c r="D21" t="s" s="80">
        <v>200</v>
      </c>
      <c r="E21" s="34"/>
      <c r="F21" s="34"/>
      <c r="G21" s="34">
        <v>1.92</v>
      </c>
      <c r="H21" s="35"/>
      <c r="I21" s="35"/>
      <c r="J21" s="35"/>
      <c r="K21" s="35"/>
      <c r="L21" s="35"/>
      <c r="M21" s="35"/>
      <c r="N21" s="35"/>
      <c r="O21" s="35"/>
      <c r="P21" s="34" cm="1">
        <f t="array" ref="P21">G21</f>
        <v>1.92</v>
      </c>
      <c r="Q21" s="35"/>
      <c r="R21" s="35"/>
      <c r="S21" s="35"/>
      <c r="T21" s="35"/>
      <c r="U21" s="35"/>
      <c r="V21" s="126"/>
      <c r="W21" s="127"/>
      <c r="X21" s="128"/>
      <c r="Y21" s="7"/>
    </row>
    <row r="22" ht="13.55" customHeight="1">
      <c r="A22" s="79"/>
      <c r="B22" s="101"/>
      <c r="C22" t="s" s="80">
        <v>203</v>
      </c>
      <c r="D22" t="s" s="80">
        <v>204</v>
      </c>
      <c r="E22" s="34"/>
      <c r="F22" s="34"/>
      <c r="G22" s="34">
        <v>25000</v>
      </c>
      <c r="H22" s="35"/>
      <c r="I22" s="35"/>
      <c r="J22" s="35"/>
      <c r="K22" s="35"/>
      <c r="L22" s="35"/>
      <c r="M22" s="35"/>
      <c r="N22" s="34" cm="1">
        <f t="array" ref="N22">G22</f>
        <v>25000</v>
      </c>
      <c r="O22" s="35"/>
      <c r="P22" s="35"/>
      <c r="Q22" s="35"/>
      <c r="R22" s="35"/>
      <c r="S22" s="35"/>
      <c r="T22" s="35"/>
      <c r="U22" s="35"/>
      <c r="V22" s="126"/>
      <c r="W22" s="127"/>
      <c r="X22" s="128"/>
      <c r="Y22" s="7"/>
    </row>
    <row r="23" ht="13.55" customHeight="1">
      <c r="A23" s="79"/>
      <c r="B23" s="101"/>
      <c r="C23" t="s" s="80">
        <v>99</v>
      </c>
      <c r="D23" t="s" s="80">
        <v>205</v>
      </c>
      <c r="E23" s="34"/>
      <c r="F23" s="34"/>
      <c r="G23" s="34">
        <v>50</v>
      </c>
      <c r="H23" s="35"/>
      <c r="I23" s="35"/>
      <c r="J23" s="35"/>
      <c r="K23" s="35"/>
      <c r="L23" s="35"/>
      <c r="M23" s="35"/>
      <c r="N23" s="35"/>
      <c r="O23" s="34" cm="1">
        <f t="array" ref="O23">G23</f>
        <v>50</v>
      </c>
      <c r="P23" s="35"/>
      <c r="Q23" s="35"/>
      <c r="R23" s="35"/>
      <c r="S23" s="35"/>
      <c r="T23" s="35"/>
      <c r="U23" s="35"/>
      <c r="V23" s="126"/>
      <c r="W23" s="127"/>
      <c r="X23" s="128"/>
      <c r="Y23" s="7"/>
    </row>
    <row r="24" ht="13.55" customHeight="1">
      <c r="A24" s="79"/>
      <c r="B24" s="101"/>
      <c r="C24" t="s" s="80">
        <v>99</v>
      </c>
      <c r="D24" t="s" s="80">
        <v>206</v>
      </c>
      <c r="E24" s="34"/>
      <c r="F24" s="34"/>
      <c r="G24" s="34">
        <v>8</v>
      </c>
      <c r="H24" s="35"/>
      <c r="I24" s="35"/>
      <c r="J24" s="35"/>
      <c r="K24" s="35"/>
      <c r="L24" s="35"/>
      <c r="M24" s="35"/>
      <c r="N24" s="35"/>
      <c r="O24" s="35"/>
      <c r="P24" s="34" cm="1">
        <f t="array" ref="P24">G24</f>
        <v>8</v>
      </c>
      <c r="Q24" s="35"/>
      <c r="R24" s="35"/>
      <c r="S24" s="35"/>
      <c r="T24" s="35"/>
      <c r="U24" s="35"/>
      <c r="V24" s="126"/>
      <c r="W24" s="127"/>
      <c r="X24" s="128"/>
      <c r="Y24" s="7"/>
    </row>
    <row r="25" ht="13.55" customHeight="1">
      <c r="A25" s="79"/>
      <c r="B25" s="101"/>
      <c r="C25" s="35"/>
      <c r="D25" s="35"/>
      <c r="E25" s="34"/>
      <c r="F25" s="34"/>
      <c r="G25" s="34" cm="1">
        <f t="array" ref="G25">SUM(G6:G24)</f>
        <v>105174.54</v>
      </c>
      <c r="H25" s="99" cm="1">
        <f t="array" ref="H25">SUM(H6:H24)</f>
        <v>1400</v>
      </c>
      <c r="I25" s="99"/>
      <c r="J25" s="99" cm="1">
        <f t="array" ref="J25">SUM(J6:J24)</f>
        <v>6032</v>
      </c>
      <c r="K25" s="99" cm="1">
        <f t="array" ref="K25">SUM(K6:K24)</f>
        <v>0</v>
      </c>
      <c r="L25" s="99" cm="1">
        <f t="array" ref="L25">SUM(L6:L24)</f>
        <v>4570</v>
      </c>
      <c r="M25" s="99" cm="1">
        <f t="array" ref="M25">SUM(M6:M24)</f>
        <v>14000.42</v>
      </c>
      <c r="N25" s="99" cm="1">
        <f t="array" ref="N25">SUM(N6:N24)</f>
        <v>75000</v>
      </c>
      <c r="O25" s="99" cm="1">
        <f t="array" ref="O25">SUM(O6:O24)</f>
        <v>3596.68</v>
      </c>
      <c r="P25" s="99" cm="1">
        <f t="array" ref="P25">SUM(P6:P24)</f>
        <v>575.4400000000001</v>
      </c>
      <c r="Q25" s="99" cm="1">
        <f t="array" ref="Q25">SUM(Q6:Q24)</f>
        <v>0</v>
      </c>
      <c r="R25" s="99" cm="1">
        <f t="array" ref="R25">SUM(R6:R24)</f>
        <v>0</v>
      </c>
      <c r="S25" s="99" cm="1">
        <f t="array" ref="S25">SUM(S6:S24)</f>
        <v>0</v>
      </c>
      <c r="T25" s="99" cm="1">
        <f t="array" ref="T25">SUM(T6:T24)</f>
        <v>0</v>
      </c>
      <c r="U25" s="99" cm="1">
        <f t="array" ref="U25">SUM(U6:U24)</f>
        <v>0</v>
      </c>
      <c r="V25" s="99" cm="1">
        <f t="array" ref="V25">SUM(V6:V24)</f>
        <v>0</v>
      </c>
      <c r="W25" s="133" cm="1">
        <f t="array" ref="W25">SUM(W6:W24)</f>
        <v>0</v>
      </c>
      <c r="X25" s="134" cm="1">
        <f t="array" ref="X25">W25+V25+U25+T25+S25+R25+Q25+P25+O25+N25+M25+L25+K25+J25+I25+H25</f>
        <v>105174.54</v>
      </c>
      <c r="Y25" s="7"/>
    </row>
    <row r="26" ht="13.55" customHeight="1">
      <c r="A26" s="79"/>
      <c r="B26" s="101"/>
      <c r="C26" t="s" s="80">
        <v>8</v>
      </c>
      <c r="D26" t="s" s="80">
        <v>8</v>
      </c>
      <c r="E26" t="s" s="80">
        <v>8</v>
      </c>
      <c r="F26" s="34"/>
      <c r="G26" t="s" s="80">
        <v>8</v>
      </c>
      <c r="H26" s="35"/>
      <c r="I26" s="35"/>
      <c r="J26" s="35"/>
      <c r="K26" s="35"/>
      <c r="L26" s="35"/>
      <c r="M26" s="35"/>
      <c r="N26" s="35"/>
      <c r="O26" s="35"/>
      <c r="P26" s="35"/>
      <c r="Q26" s="35"/>
      <c r="R26" s="35"/>
      <c r="S26" s="35"/>
      <c r="T26" s="35"/>
      <c r="U26" s="35"/>
      <c r="V26" s="126"/>
      <c r="W26" s="127"/>
      <c r="X26" s="128"/>
      <c r="Y26" s="7"/>
    </row>
    <row r="27" ht="16.5" customHeight="1">
      <c r="A27" s="79"/>
      <c r="B27" s="131"/>
      <c r="C27" s="89"/>
      <c r="D27" t="s" s="90">
        <v>190</v>
      </c>
      <c r="E27" t="s" s="90">
        <v>52</v>
      </c>
      <c r="F27" s="89"/>
      <c r="G27" t="s" s="90">
        <v>52</v>
      </c>
      <c r="H27" s="34"/>
      <c r="I27" s="34"/>
      <c r="J27" s="34"/>
      <c r="K27" s="34"/>
      <c r="L27" s="34"/>
      <c r="M27" s="34"/>
      <c r="N27" s="34"/>
      <c r="O27" s="34"/>
      <c r="P27" s="34"/>
      <c r="Q27" s="34"/>
      <c r="R27" s="34"/>
      <c r="S27" s="35"/>
      <c r="T27" s="35"/>
      <c r="U27" s="35"/>
      <c r="V27" s="126"/>
      <c r="W27" s="127"/>
      <c r="X27" s="128"/>
      <c r="Y27" s="7"/>
    </row>
    <row r="28" ht="16.5" customHeight="1">
      <c r="A28" s="79"/>
      <c r="B28" t="s" s="90">
        <v>79</v>
      </c>
      <c r="C28" t="s" s="90">
        <v>8</v>
      </c>
      <c r="D28" s="89"/>
      <c r="E28" t="s" s="90">
        <v>55</v>
      </c>
      <c r="F28" t="s" s="90">
        <v>8</v>
      </c>
      <c r="G28" t="s" s="90">
        <v>191</v>
      </c>
      <c r="H28" s="34"/>
      <c r="I28" s="34"/>
      <c r="J28" s="34"/>
      <c r="K28" s="34"/>
      <c r="L28" s="34"/>
      <c r="M28" s="34"/>
      <c r="N28" s="34"/>
      <c r="O28" s="34"/>
      <c r="P28" s="34"/>
      <c r="Q28" s="34"/>
      <c r="R28" s="34"/>
      <c r="S28" s="35"/>
      <c r="T28" s="35"/>
      <c r="U28" s="35"/>
      <c r="V28" s="126"/>
      <c r="W28" s="127"/>
      <c r="X28" s="128"/>
      <c r="Y28" s="7"/>
    </row>
    <row r="29" ht="16.5" customHeight="1">
      <c r="A29" s="79"/>
      <c r="B29" t="s" s="132">
        <v>8</v>
      </c>
      <c r="C29" t="s" s="94">
        <v>58</v>
      </c>
      <c r="D29" t="s" s="95">
        <v>8</v>
      </c>
      <c r="E29" s="89"/>
      <c r="F29" t="s" s="96">
        <v>8</v>
      </c>
      <c r="G29" t="s" s="96">
        <v>8</v>
      </c>
      <c r="H29" s="34"/>
      <c r="I29" s="34"/>
      <c r="J29" s="34"/>
      <c r="K29" s="34"/>
      <c r="L29" s="34"/>
      <c r="M29" s="34"/>
      <c r="N29" s="34"/>
      <c r="O29" s="34"/>
      <c r="P29" s="34"/>
      <c r="Q29" s="34"/>
      <c r="R29" s="34"/>
      <c r="S29" s="35"/>
      <c r="T29" s="35"/>
      <c r="U29" s="35"/>
      <c r="V29" s="126"/>
      <c r="W29" s="127"/>
      <c r="X29" s="128"/>
      <c r="Y29" s="7"/>
    </row>
    <row r="30" ht="13.55" customHeight="1">
      <c r="A30" s="79"/>
      <c r="B30" s="101">
        <v>45698</v>
      </c>
      <c r="C30" t="s" s="80">
        <v>207</v>
      </c>
      <c r="D30" t="s" s="80">
        <v>208</v>
      </c>
      <c r="E30" s="35"/>
      <c r="F30" s="35"/>
      <c r="G30" s="34">
        <v>1616.71</v>
      </c>
      <c r="H30" s="34"/>
      <c r="I30" s="34"/>
      <c r="J30" s="34"/>
      <c r="K30" s="34"/>
      <c r="L30" s="34"/>
      <c r="M30" s="34"/>
      <c r="N30" s="34"/>
      <c r="O30" s="34"/>
      <c r="P30" t="s" s="80">
        <v>8</v>
      </c>
      <c r="Q30" s="34">
        <v>1616.71</v>
      </c>
      <c r="R30" s="34"/>
      <c r="S30" s="35"/>
      <c r="T30" s="35"/>
      <c r="U30" s="35"/>
      <c r="V30" s="126"/>
      <c r="W30" s="127"/>
      <c r="X30" s="128"/>
      <c r="Y30" s="7"/>
    </row>
    <row r="31" ht="13.55" customHeight="1">
      <c r="A31" s="79"/>
      <c r="B31" s="101">
        <v>45698</v>
      </c>
      <c r="C31" t="s" s="80">
        <v>207</v>
      </c>
      <c r="D31" t="s" s="80">
        <v>208</v>
      </c>
      <c r="E31" s="35"/>
      <c r="F31" s="35"/>
      <c r="G31" s="34">
        <v>1616.71</v>
      </c>
      <c r="H31" s="34"/>
      <c r="I31" s="34"/>
      <c r="J31" s="34"/>
      <c r="K31" s="34"/>
      <c r="L31" s="34"/>
      <c r="M31" t="s" s="80">
        <v>8</v>
      </c>
      <c r="N31" s="34"/>
      <c r="O31" s="34"/>
      <c r="P31" t="s" s="80">
        <v>8</v>
      </c>
      <c r="Q31" s="34">
        <v>1616.71</v>
      </c>
      <c r="R31" s="34"/>
      <c r="S31" s="35"/>
      <c r="T31" s="35"/>
      <c r="U31" s="35"/>
      <c r="V31" s="126"/>
      <c r="W31" s="127"/>
      <c r="X31" s="128"/>
      <c r="Y31" s="7"/>
    </row>
    <row r="32" ht="13.55" customHeight="1">
      <c r="A32" s="79"/>
      <c r="B32" s="101">
        <v>45702</v>
      </c>
      <c r="C32" t="s" s="80">
        <v>197</v>
      </c>
      <c r="D32" t="s" s="80">
        <v>209</v>
      </c>
      <c r="E32" s="35"/>
      <c r="F32" s="35"/>
      <c r="G32" s="34">
        <v>14002.08</v>
      </c>
      <c r="H32" s="34"/>
      <c r="I32" s="34"/>
      <c r="J32" s="34"/>
      <c r="K32" s="34"/>
      <c r="L32" s="34"/>
      <c r="M32" s="34" cm="1">
        <f t="array" ref="M32">G32</f>
        <v>14002.08</v>
      </c>
      <c r="N32" s="34"/>
      <c r="O32" s="34"/>
      <c r="P32" s="34"/>
      <c r="Q32" s="34"/>
      <c r="R32" s="34"/>
      <c r="S32" s="35"/>
      <c r="T32" s="35"/>
      <c r="U32" s="35"/>
      <c r="V32" s="126"/>
      <c r="W32" s="127"/>
      <c r="X32" s="128"/>
      <c r="Y32" s="7"/>
    </row>
    <row r="33" ht="13.55" customHeight="1">
      <c r="A33" s="79"/>
      <c r="B33" s="101">
        <v>45705</v>
      </c>
      <c r="C33" t="s" s="80">
        <v>99</v>
      </c>
      <c r="D33" t="s" s="80">
        <v>210</v>
      </c>
      <c r="E33" s="35"/>
      <c r="F33" s="35"/>
      <c r="G33" s="34">
        <v>10</v>
      </c>
      <c r="H33" s="34"/>
      <c r="I33" s="34"/>
      <c r="J33" s="34"/>
      <c r="K33" s="34"/>
      <c r="L33" s="34"/>
      <c r="M33" s="34"/>
      <c r="N33" s="34"/>
      <c r="O33" s="34">
        <v>10</v>
      </c>
      <c r="P33" s="34"/>
      <c r="Q33" s="34"/>
      <c r="R33" s="34"/>
      <c r="S33" s="35"/>
      <c r="T33" s="35"/>
      <c r="U33" s="35"/>
      <c r="V33" s="126"/>
      <c r="W33" s="127"/>
      <c r="X33" s="128"/>
      <c r="Y33" s="7"/>
    </row>
    <row r="34" ht="13.55" customHeight="1">
      <c r="A34" s="79"/>
      <c r="B34" s="101">
        <v>45705</v>
      </c>
      <c r="C34" t="s" s="80">
        <v>99</v>
      </c>
      <c r="D34" t="s" s="80">
        <v>211</v>
      </c>
      <c r="E34" s="35"/>
      <c r="F34" s="35"/>
      <c r="G34" s="34">
        <v>1.6</v>
      </c>
      <c r="H34" s="34"/>
      <c r="I34" s="34"/>
      <c r="J34" s="34"/>
      <c r="K34" s="34"/>
      <c r="L34" s="34"/>
      <c r="M34" s="34"/>
      <c r="N34" s="34"/>
      <c r="O34" s="34"/>
      <c r="P34" s="34">
        <v>1.6</v>
      </c>
      <c r="Q34" s="34"/>
      <c r="R34" s="34"/>
      <c r="S34" s="35"/>
      <c r="T34" s="35"/>
      <c r="U34" s="35"/>
      <c r="V34" s="126"/>
      <c r="W34" s="127"/>
      <c r="X34" s="128"/>
      <c r="Y34" s="7"/>
    </row>
    <row r="35" ht="13.55" customHeight="1">
      <c r="A35" s="79"/>
      <c r="B35" s="101">
        <v>45705</v>
      </c>
      <c r="C35" t="s" s="80">
        <v>99</v>
      </c>
      <c r="D35" t="s" s="80">
        <v>212</v>
      </c>
      <c r="E35" s="35"/>
      <c r="F35" s="35"/>
      <c r="G35" s="34">
        <v>715.38</v>
      </c>
      <c r="H35" s="34"/>
      <c r="I35" s="34"/>
      <c r="J35" s="34"/>
      <c r="K35" s="34"/>
      <c r="L35" s="34"/>
      <c r="M35" s="34"/>
      <c r="N35" s="34"/>
      <c r="O35" s="34">
        <v>715.38</v>
      </c>
      <c r="P35" s="34"/>
      <c r="Q35" s="34"/>
      <c r="R35" s="34"/>
      <c r="S35" s="35"/>
      <c r="T35" s="35"/>
      <c r="U35" s="35"/>
      <c r="V35" s="126"/>
      <c r="W35" s="127"/>
      <c r="X35" s="128"/>
      <c r="Y35" s="7"/>
    </row>
    <row r="36" ht="13.55" customHeight="1">
      <c r="A36" s="79"/>
      <c r="B36" s="101">
        <v>45705</v>
      </c>
      <c r="C36" t="s" s="80">
        <v>99</v>
      </c>
      <c r="D36" t="s" s="80">
        <v>213</v>
      </c>
      <c r="E36" s="35"/>
      <c r="F36" s="35"/>
      <c r="G36" s="34">
        <v>114.46</v>
      </c>
      <c r="H36" s="34"/>
      <c r="I36" s="34"/>
      <c r="J36" s="34"/>
      <c r="K36" s="34"/>
      <c r="L36" s="34"/>
      <c r="M36" s="34"/>
      <c r="N36" s="34"/>
      <c r="O36" s="34"/>
      <c r="P36" s="34">
        <v>114.46</v>
      </c>
      <c r="Q36" s="34"/>
      <c r="R36" s="34"/>
      <c r="S36" s="35"/>
      <c r="T36" s="35"/>
      <c r="U36" s="35"/>
      <c r="V36" s="126"/>
      <c r="W36" s="127"/>
      <c r="X36" s="128"/>
      <c r="Y36" s="7"/>
    </row>
    <row r="37" ht="13.55" customHeight="1">
      <c r="A37" s="79"/>
      <c r="B37" s="101">
        <v>45705</v>
      </c>
      <c r="C37" t="s" s="80">
        <v>99</v>
      </c>
      <c r="D37" t="s" s="80">
        <v>212</v>
      </c>
      <c r="E37" s="35"/>
      <c r="F37" s="35"/>
      <c r="G37" s="34">
        <v>2147.75</v>
      </c>
      <c r="H37" s="34"/>
      <c r="I37" s="34"/>
      <c r="J37" s="34"/>
      <c r="K37" s="34"/>
      <c r="L37" s="34"/>
      <c r="M37" s="34"/>
      <c r="N37" s="34"/>
      <c r="O37" s="34">
        <v>2147.75</v>
      </c>
      <c r="P37" s="34"/>
      <c r="Q37" s="34"/>
      <c r="R37" s="34"/>
      <c r="S37" s="35"/>
      <c r="T37" s="35"/>
      <c r="U37" s="35"/>
      <c r="V37" s="126"/>
      <c r="W37" s="127"/>
      <c r="X37" s="128"/>
      <c r="Y37" s="7"/>
    </row>
    <row r="38" ht="13.55" customHeight="1">
      <c r="A38" s="79"/>
      <c r="B38" s="101">
        <v>45705</v>
      </c>
      <c r="C38" t="s" s="80">
        <v>99</v>
      </c>
      <c r="D38" t="s" s="80">
        <v>213</v>
      </c>
      <c r="E38" s="35"/>
      <c r="F38" s="35"/>
      <c r="G38" s="34">
        <v>343.64</v>
      </c>
      <c r="H38" s="34"/>
      <c r="I38" s="34"/>
      <c r="J38" s="34"/>
      <c r="K38" s="34"/>
      <c r="L38" s="34"/>
      <c r="M38" s="34"/>
      <c r="N38" s="34"/>
      <c r="O38" s="34"/>
      <c r="P38" s="34">
        <v>343.64</v>
      </c>
      <c r="Q38" s="34"/>
      <c r="R38" s="34"/>
      <c r="S38" s="35"/>
      <c r="T38" s="35"/>
      <c r="U38" s="35"/>
      <c r="V38" s="126"/>
      <c r="W38" s="127"/>
      <c r="X38" s="128"/>
      <c r="Y38" s="7"/>
    </row>
    <row r="39" ht="13.55" customHeight="1">
      <c r="A39" s="79"/>
      <c r="B39" s="101">
        <v>45705</v>
      </c>
      <c r="C39" t="s" s="80">
        <v>99</v>
      </c>
      <c r="D39" t="s" s="80">
        <v>212</v>
      </c>
      <c r="E39" s="35"/>
      <c r="F39" s="35"/>
      <c r="G39" s="34">
        <v>538.65</v>
      </c>
      <c r="H39" s="34"/>
      <c r="I39" s="34"/>
      <c r="J39" s="34"/>
      <c r="K39" s="34"/>
      <c r="L39" s="34"/>
      <c r="M39" s="34"/>
      <c r="N39" s="34"/>
      <c r="O39" s="34">
        <v>538.65</v>
      </c>
      <c r="P39" s="34"/>
      <c r="Q39" s="34"/>
      <c r="R39" s="34"/>
      <c r="S39" s="35"/>
      <c r="T39" s="35"/>
      <c r="U39" s="35"/>
      <c r="V39" s="126"/>
      <c r="W39" s="127"/>
      <c r="X39" s="128"/>
      <c r="Y39" s="7"/>
    </row>
    <row r="40" ht="13.55" customHeight="1">
      <c r="A40" s="79"/>
      <c r="B40" s="101">
        <v>45705</v>
      </c>
      <c r="C40" t="s" s="80">
        <v>99</v>
      </c>
      <c r="D40" t="s" s="80">
        <v>213</v>
      </c>
      <c r="E40" s="35"/>
      <c r="F40" s="35"/>
      <c r="G40" s="34">
        <v>86.16</v>
      </c>
      <c r="H40" s="34"/>
      <c r="I40" s="34"/>
      <c r="J40" s="34"/>
      <c r="K40" s="34"/>
      <c r="L40" s="34"/>
      <c r="M40" s="34"/>
      <c r="N40" s="34"/>
      <c r="O40" s="34"/>
      <c r="P40" s="34">
        <v>86.16</v>
      </c>
      <c r="Q40" s="34"/>
      <c r="R40" s="34"/>
      <c r="S40" s="35"/>
      <c r="T40" s="35"/>
      <c r="U40" s="35"/>
      <c r="V40" s="126"/>
      <c r="W40" s="127"/>
      <c r="X40" s="128"/>
      <c r="Y40" s="7"/>
    </row>
    <row r="41" ht="13.55" customHeight="1">
      <c r="A41" s="79"/>
      <c r="B41" s="101">
        <v>45705</v>
      </c>
      <c r="C41" t="s" s="80">
        <v>99</v>
      </c>
      <c r="D41" t="s" s="80">
        <v>214</v>
      </c>
      <c r="E41" s="35"/>
      <c r="F41" s="35"/>
      <c r="G41" s="34">
        <v>50</v>
      </c>
      <c r="H41" s="34"/>
      <c r="I41" s="34"/>
      <c r="J41" s="34"/>
      <c r="K41" s="34"/>
      <c r="L41" s="34"/>
      <c r="M41" s="34"/>
      <c r="N41" s="34"/>
      <c r="O41" s="34">
        <v>50</v>
      </c>
      <c r="P41" s="34"/>
      <c r="Q41" s="34"/>
      <c r="R41" s="34"/>
      <c r="S41" s="35"/>
      <c r="T41" s="35"/>
      <c r="U41" s="35"/>
      <c r="V41" s="126"/>
      <c r="W41" s="127"/>
      <c r="X41" s="128"/>
      <c r="Y41" s="7"/>
    </row>
    <row r="42" ht="13.55" customHeight="1">
      <c r="A42" s="79"/>
      <c r="B42" s="101">
        <v>45705</v>
      </c>
      <c r="C42" t="s" s="80">
        <v>99</v>
      </c>
      <c r="D42" t="s" s="80">
        <v>215</v>
      </c>
      <c r="E42" s="35"/>
      <c r="F42" s="35"/>
      <c r="G42" s="34">
        <v>8</v>
      </c>
      <c r="H42" s="34"/>
      <c r="I42" s="34"/>
      <c r="J42" s="34"/>
      <c r="K42" s="34"/>
      <c r="L42" s="34"/>
      <c r="M42" s="34"/>
      <c r="N42" s="34"/>
      <c r="O42" s="34"/>
      <c r="P42" s="34">
        <v>8</v>
      </c>
      <c r="Q42" s="34"/>
      <c r="R42" s="34"/>
      <c r="S42" s="35"/>
      <c r="T42" s="35"/>
      <c r="U42" s="35"/>
      <c r="V42" s="126"/>
      <c r="W42" s="127"/>
      <c r="X42" s="128"/>
      <c r="Y42" s="7"/>
    </row>
    <row r="43" ht="13.55" customHeight="1">
      <c r="A43" s="79"/>
      <c r="B43" s="101">
        <v>45707</v>
      </c>
      <c r="C43" t="s" s="80">
        <v>99</v>
      </c>
      <c r="D43" t="s" s="80">
        <v>212</v>
      </c>
      <c r="E43" s="35"/>
      <c r="F43" s="35"/>
      <c r="G43" s="34">
        <v>35</v>
      </c>
      <c r="H43" s="34"/>
      <c r="I43" s="34"/>
      <c r="J43" s="34"/>
      <c r="K43" s="34"/>
      <c r="L43" s="34"/>
      <c r="M43" s="34"/>
      <c r="N43" s="34"/>
      <c r="O43" s="34">
        <v>35</v>
      </c>
      <c r="P43" s="34"/>
      <c r="Q43" s="34"/>
      <c r="R43" s="34"/>
      <c r="S43" s="35"/>
      <c r="T43" s="35"/>
      <c r="U43" s="35"/>
      <c r="V43" s="126"/>
      <c r="W43" s="127"/>
      <c r="X43" s="128"/>
      <c r="Y43" s="7"/>
    </row>
    <row r="44" ht="13.55" customHeight="1">
      <c r="A44" s="79"/>
      <c r="B44" s="101">
        <v>45707</v>
      </c>
      <c r="C44" t="s" s="80">
        <v>99</v>
      </c>
      <c r="D44" t="s" s="80">
        <v>213</v>
      </c>
      <c r="E44" s="35"/>
      <c r="F44" s="35"/>
      <c r="G44" s="34">
        <v>5.6</v>
      </c>
      <c r="H44" s="34"/>
      <c r="I44" s="34"/>
      <c r="J44" s="34"/>
      <c r="K44" s="34"/>
      <c r="L44" s="34"/>
      <c r="M44" s="34"/>
      <c r="N44" s="34"/>
      <c r="O44" s="34"/>
      <c r="P44" s="34">
        <v>5.6</v>
      </c>
      <c r="Q44" s="34"/>
      <c r="R44" s="34"/>
      <c r="S44" s="35"/>
      <c r="T44" s="35"/>
      <c r="U44" s="35"/>
      <c r="V44" s="126"/>
      <c r="W44" s="127"/>
      <c r="X44" s="128"/>
      <c r="Y44" s="7"/>
    </row>
    <row r="45" ht="13.55" customHeight="1">
      <c r="A45" s="79"/>
      <c r="B45" s="101">
        <v>45707</v>
      </c>
      <c r="C45" t="s" s="80">
        <v>99</v>
      </c>
      <c r="D45" t="s" s="80">
        <v>212</v>
      </c>
      <c r="E45" s="35"/>
      <c r="F45" s="35"/>
      <c r="G45" s="34">
        <v>24.7</v>
      </c>
      <c r="H45" s="34"/>
      <c r="I45" s="34"/>
      <c r="J45" s="34"/>
      <c r="K45" s="34"/>
      <c r="L45" s="34"/>
      <c r="M45" s="34"/>
      <c r="N45" s="34"/>
      <c r="O45" s="34">
        <v>24.7</v>
      </c>
      <c r="P45" s="34"/>
      <c r="Q45" s="34"/>
      <c r="R45" s="34"/>
      <c r="S45" s="35"/>
      <c r="T45" s="35"/>
      <c r="U45" s="35"/>
      <c r="V45" s="126"/>
      <c r="W45" s="127"/>
      <c r="X45" s="128"/>
      <c r="Y45" s="7"/>
    </row>
    <row r="46" ht="13.55" customHeight="1">
      <c r="A46" s="79"/>
      <c r="B46" s="101">
        <v>45707</v>
      </c>
      <c r="C46" t="s" s="80">
        <v>99</v>
      </c>
      <c r="D46" t="s" s="80">
        <v>213</v>
      </c>
      <c r="E46" s="35"/>
      <c r="F46" s="35"/>
      <c r="G46" s="34">
        <v>3.95</v>
      </c>
      <c r="H46" s="34"/>
      <c r="I46" s="34"/>
      <c r="J46" s="34"/>
      <c r="K46" s="34"/>
      <c r="L46" s="34"/>
      <c r="M46" s="34"/>
      <c r="N46" s="34"/>
      <c r="O46" s="34"/>
      <c r="P46" s="34">
        <v>3.95</v>
      </c>
      <c r="Q46" s="34"/>
      <c r="R46" s="34"/>
      <c r="S46" s="35"/>
      <c r="T46" s="35"/>
      <c r="U46" s="35"/>
      <c r="V46" s="126"/>
      <c r="W46" s="127"/>
      <c r="X46" s="128"/>
      <c r="Y46" s="7"/>
    </row>
    <row r="47" ht="13.55" customHeight="1">
      <c r="A47" s="79"/>
      <c r="B47" s="101">
        <v>45707</v>
      </c>
      <c r="C47" t="s" s="80">
        <v>99</v>
      </c>
      <c r="D47" t="s" s="80">
        <v>212</v>
      </c>
      <c r="E47" s="35"/>
      <c r="F47" s="35"/>
      <c r="G47" s="34">
        <v>103.25</v>
      </c>
      <c r="H47" s="34"/>
      <c r="I47" s="34"/>
      <c r="J47" s="34"/>
      <c r="K47" s="34"/>
      <c r="L47" s="34"/>
      <c r="M47" s="34"/>
      <c r="N47" s="34"/>
      <c r="O47" s="34">
        <v>103.25</v>
      </c>
      <c r="P47" s="34"/>
      <c r="Q47" s="34"/>
      <c r="R47" s="34"/>
      <c r="S47" s="35"/>
      <c r="T47" s="35"/>
      <c r="U47" s="35"/>
      <c r="V47" s="126"/>
      <c r="W47" s="127"/>
      <c r="X47" s="128"/>
      <c r="Y47" s="7"/>
    </row>
    <row r="48" ht="13.55" customHeight="1">
      <c r="A48" s="79"/>
      <c r="B48" s="101">
        <v>45707</v>
      </c>
      <c r="C48" t="s" s="80">
        <v>99</v>
      </c>
      <c r="D48" t="s" s="80">
        <v>213</v>
      </c>
      <c r="E48" s="35"/>
      <c r="F48" s="35"/>
      <c r="G48" s="34">
        <v>16.52</v>
      </c>
      <c r="H48" s="34"/>
      <c r="I48" s="34"/>
      <c r="J48" s="34"/>
      <c r="K48" s="34"/>
      <c r="L48" s="34"/>
      <c r="M48" s="34"/>
      <c r="N48" s="34"/>
      <c r="O48" s="34"/>
      <c r="P48" s="34">
        <v>16.52</v>
      </c>
      <c r="Q48" s="34"/>
      <c r="R48" s="34"/>
      <c r="S48" s="35"/>
      <c r="T48" s="35"/>
      <c r="U48" s="35"/>
      <c r="V48" s="126"/>
      <c r="W48" s="127"/>
      <c r="X48" s="128"/>
      <c r="Y48" s="7"/>
    </row>
    <row r="49" ht="13.55" customHeight="1">
      <c r="A49" s="79"/>
      <c r="B49" s="101">
        <v>45708</v>
      </c>
      <c r="C49" t="s" s="80">
        <v>216</v>
      </c>
      <c r="D49" t="s" s="80">
        <v>217</v>
      </c>
      <c r="E49" s="35"/>
      <c r="F49" s="35"/>
      <c r="G49" s="34">
        <v>17400</v>
      </c>
      <c r="H49" s="34"/>
      <c r="I49" s="34"/>
      <c r="J49" s="34"/>
      <c r="K49" s="34"/>
      <c r="L49" s="34"/>
      <c r="M49" s="34"/>
      <c r="N49" s="34"/>
      <c r="O49" s="34"/>
      <c r="P49" s="34"/>
      <c r="Q49" s="34"/>
      <c r="R49" s="34" cm="1">
        <f t="array" ref="R49">G49</f>
        <v>17400</v>
      </c>
      <c r="S49" s="35"/>
      <c r="T49" s="35"/>
      <c r="U49" s="35"/>
      <c r="V49" s="126"/>
      <c r="W49" s="127"/>
      <c r="X49" s="128"/>
      <c r="Y49" s="7"/>
    </row>
    <row r="50" ht="13.55" customHeight="1">
      <c r="A50" s="79"/>
      <c r="B50" s="101">
        <v>45709</v>
      </c>
      <c r="C50" t="s" s="80">
        <v>218</v>
      </c>
      <c r="D50" t="s" s="80">
        <v>204</v>
      </c>
      <c r="E50" s="35"/>
      <c r="F50" s="35"/>
      <c r="G50" s="34">
        <v>20000</v>
      </c>
      <c r="H50" s="34"/>
      <c r="I50" s="34"/>
      <c r="J50" s="34"/>
      <c r="K50" s="34"/>
      <c r="L50" s="34"/>
      <c r="M50" s="34"/>
      <c r="N50" s="34" cm="1">
        <f t="array" ref="N50">G50</f>
        <v>20000</v>
      </c>
      <c r="O50" s="34"/>
      <c r="P50" s="34"/>
      <c r="Q50" s="34"/>
      <c r="R50" s="34"/>
      <c r="S50" s="35"/>
      <c r="T50" s="35"/>
      <c r="U50" s="35"/>
      <c r="V50" s="126"/>
      <c r="W50" s="127"/>
      <c r="X50" s="128"/>
      <c r="Y50" s="7"/>
    </row>
    <row r="51" ht="13.55" customHeight="1">
      <c r="A51" s="79"/>
      <c r="B51" s="101">
        <v>45715</v>
      </c>
      <c r="C51" t="s" s="80">
        <v>197</v>
      </c>
      <c r="D51" t="s" s="80">
        <v>219</v>
      </c>
      <c r="E51" s="35"/>
      <c r="F51" s="35"/>
      <c r="G51" s="34">
        <v>14059.96</v>
      </c>
      <c r="H51" s="34"/>
      <c r="I51" s="34"/>
      <c r="J51" s="34"/>
      <c r="K51" s="34"/>
      <c r="L51" s="34"/>
      <c r="M51" s="34" cm="1">
        <f t="array" ref="M51">G51</f>
        <v>14059.96</v>
      </c>
      <c r="N51" s="34"/>
      <c r="O51" s="34"/>
      <c r="P51" s="34"/>
      <c r="Q51" s="34"/>
      <c r="R51" s="34"/>
      <c r="S51" s="35"/>
      <c r="T51" s="35"/>
      <c r="U51" s="35"/>
      <c r="V51" s="126"/>
      <c r="W51" s="127"/>
      <c r="X51" s="128"/>
      <c r="Y51" s="7"/>
    </row>
    <row r="52" ht="13.55" customHeight="1">
      <c r="A52" s="79"/>
      <c r="B52" s="101">
        <v>45715</v>
      </c>
      <c r="C52" t="s" s="80">
        <v>220</v>
      </c>
      <c r="D52" t="s" s="80">
        <v>220</v>
      </c>
      <c r="E52" s="35"/>
      <c r="F52" s="35"/>
      <c r="G52" s="34">
        <v>10</v>
      </c>
      <c r="H52" s="34"/>
      <c r="I52" s="34"/>
      <c r="J52" s="34"/>
      <c r="K52" s="34"/>
      <c r="L52" s="34"/>
      <c r="M52" s="34"/>
      <c r="N52" s="34"/>
      <c r="O52" s="34">
        <v>10</v>
      </c>
      <c r="P52" s="34"/>
      <c r="Q52" s="34"/>
      <c r="R52" s="34"/>
      <c r="S52" s="35"/>
      <c r="T52" s="35"/>
      <c r="U52" s="35"/>
      <c r="V52" s="126"/>
      <c r="W52" s="127"/>
      <c r="X52" s="128"/>
      <c r="Y52" s="7"/>
    </row>
    <row r="53" ht="13.55" customHeight="1">
      <c r="A53" s="79"/>
      <c r="B53" s="101">
        <v>45715</v>
      </c>
      <c r="C53" t="s" s="80">
        <v>206</v>
      </c>
      <c r="D53" t="s" s="80">
        <v>206</v>
      </c>
      <c r="E53" s="35"/>
      <c r="F53" s="35"/>
      <c r="G53" s="34">
        <v>1.6</v>
      </c>
      <c r="H53" s="34"/>
      <c r="I53" s="34"/>
      <c r="J53" s="34"/>
      <c r="K53" s="34"/>
      <c r="L53" s="34"/>
      <c r="M53" s="34"/>
      <c r="N53" s="34"/>
      <c r="O53" s="34"/>
      <c r="P53" s="34">
        <v>1.6</v>
      </c>
      <c r="Q53" s="34"/>
      <c r="R53" s="34"/>
      <c r="S53" s="35"/>
      <c r="T53" s="35"/>
      <c r="U53" s="35"/>
      <c r="V53" s="126"/>
      <c r="W53" s="127"/>
      <c r="X53" s="128"/>
      <c r="Y53" s="7"/>
    </row>
    <row r="54" ht="13.55" customHeight="1">
      <c r="A54" s="79"/>
      <c r="B54" s="101">
        <v>45716</v>
      </c>
      <c r="C54" t="s" s="80">
        <v>221</v>
      </c>
      <c r="D54" t="s" s="80">
        <v>221</v>
      </c>
      <c r="E54" s="35"/>
      <c r="F54" s="35"/>
      <c r="G54" s="34">
        <v>400</v>
      </c>
      <c r="H54" s="34"/>
      <c r="I54" s="34"/>
      <c r="J54" s="34"/>
      <c r="K54" s="34"/>
      <c r="L54" s="34"/>
      <c r="M54" s="34"/>
      <c r="N54" s="34"/>
      <c r="O54" s="34">
        <v>400</v>
      </c>
      <c r="P54" s="34"/>
      <c r="Q54" s="34"/>
      <c r="R54" s="34"/>
      <c r="S54" s="35"/>
      <c r="T54" s="35"/>
      <c r="U54" s="35"/>
      <c r="V54" s="126"/>
      <c r="W54" s="127"/>
      <c r="X54" s="128"/>
      <c r="Y54" s="7"/>
    </row>
    <row r="55" ht="15" customHeight="1">
      <c r="A55" s="79"/>
      <c r="B55" s="101">
        <v>45716</v>
      </c>
      <c r="C55" t="s" s="80">
        <v>206</v>
      </c>
      <c r="D55" t="s" s="80">
        <v>206</v>
      </c>
      <c r="E55" s="113"/>
      <c r="F55" s="113"/>
      <c r="G55" s="34">
        <v>64</v>
      </c>
      <c r="H55" s="34"/>
      <c r="I55" s="34"/>
      <c r="J55" s="34"/>
      <c r="K55" s="34"/>
      <c r="L55" s="34"/>
      <c r="M55" s="34"/>
      <c r="N55" s="34"/>
      <c r="O55" s="34"/>
      <c r="P55" s="34">
        <v>64</v>
      </c>
      <c r="Q55" s="34"/>
      <c r="R55" s="34"/>
      <c r="S55" s="35"/>
      <c r="T55" s="35"/>
      <c r="U55" s="35"/>
      <c r="V55" s="126"/>
      <c r="W55" s="127"/>
      <c r="X55" s="128"/>
      <c r="Y55" s="7"/>
    </row>
    <row r="56" ht="15" customHeight="1">
      <c r="A56" s="79"/>
      <c r="B56" s="101"/>
      <c r="C56" s="35"/>
      <c r="D56" s="35"/>
      <c r="E56" s="113"/>
      <c r="F56" s="113"/>
      <c r="G56" s="34" cm="1">
        <f t="array" ref="G56">SUM(G30:G55)</f>
        <v>73375.72</v>
      </c>
      <c r="H56" s="99" cm="1">
        <f t="array" ref="H56">SUM(H30:H55)</f>
        <v>0</v>
      </c>
      <c r="I56" s="99" cm="1">
        <f t="array" ref="I56">SUM(I30:I55)</f>
        <v>0</v>
      </c>
      <c r="J56" s="99" cm="1">
        <f t="array" ref="J56">SUM(J30:J55)</f>
        <v>0</v>
      </c>
      <c r="K56" s="99" cm="1">
        <f t="array" ref="K56">SUM(K30:K55)</f>
        <v>0</v>
      </c>
      <c r="L56" s="99" cm="1">
        <f t="array" ref="L56">SUM(L30:L55)</f>
        <v>0</v>
      </c>
      <c r="M56" s="99" cm="1">
        <f t="array" ref="M56">SUM(M30:M55)</f>
        <v>28062.04</v>
      </c>
      <c r="N56" s="99" cm="1">
        <f t="array" ref="N56">SUM(N30:N55)</f>
        <v>20000</v>
      </c>
      <c r="O56" s="99" cm="1">
        <f t="array" ref="O56">SUM(O30:O55)</f>
        <v>4034.73</v>
      </c>
      <c r="P56" s="99" cm="1">
        <f t="array" ref="P56">SUM(P30:P55)</f>
        <v>645.53</v>
      </c>
      <c r="Q56" s="99" cm="1">
        <f t="array" ref="Q56">SUM(Q30:Q55)</f>
        <v>3233.42</v>
      </c>
      <c r="R56" s="99" cm="1">
        <f t="array" ref="R56">SUM(R30:R55)</f>
        <v>17400</v>
      </c>
      <c r="S56" s="99" cm="1">
        <f t="array" ref="S56">SUM(S30:S55)</f>
        <v>0</v>
      </c>
      <c r="T56" s="99" cm="1">
        <f t="array" ref="T56">SUM(T30:T55)</f>
        <v>0</v>
      </c>
      <c r="U56" s="99" cm="1">
        <f t="array" ref="U56">SUM(U30:U55)</f>
        <v>0</v>
      </c>
      <c r="V56" s="99" cm="1">
        <f t="array" ref="V56">SUM(V30:V55)</f>
        <v>0</v>
      </c>
      <c r="W56" s="133" cm="1">
        <f t="array" ref="W56">SUM(W30:W55)</f>
        <v>0</v>
      </c>
      <c r="X56" s="134" cm="1">
        <f t="array" ref="X56">W56+V56+U56+T56+S56+R56+Q56+P56+O56+N56+M56+L56+K56+J56+I56+H56</f>
        <v>73375.72</v>
      </c>
      <c r="Y56" t="s" s="26">
        <v>8</v>
      </c>
    </row>
    <row r="57" ht="18" customHeight="1">
      <c r="A57" s="79"/>
      <c r="B57" t="s" s="125">
        <v>86</v>
      </c>
      <c r="C57" s="87"/>
      <c r="D57" s="88"/>
      <c r="E57" s="88"/>
      <c r="F57" s="88"/>
      <c r="G57" s="34"/>
      <c r="H57" s="34"/>
      <c r="I57" s="34"/>
      <c r="J57" s="34"/>
      <c r="K57" s="34"/>
      <c r="L57" s="34"/>
      <c r="M57" s="34"/>
      <c r="N57" s="34"/>
      <c r="O57" s="34"/>
      <c r="P57" s="34"/>
      <c r="Q57" s="34"/>
      <c r="R57" s="34"/>
      <c r="S57" s="35"/>
      <c r="T57" s="35"/>
      <c r="U57" s="35"/>
      <c r="V57" s="126"/>
      <c r="W57" s="127"/>
      <c r="X57" s="128"/>
      <c r="Y57" s="7"/>
    </row>
    <row r="58" ht="16.5" customHeight="1">
      <c r="A58" s="79"/>
      <c r="B58" s="131"/>
      <c r="C58" s="89"/>
      <c r="D58" t="s" s="90">
        <v>78</v>
      </c>
      <c r="E58" t="s" s="90">
        <v>52</v>
      </c>
      <c r="F58" s="89"/>
      <c r="G58" t="s" s="90">
        <v>52</v>
      </c>
      <c r="H58" s="34"/>
      <c r="I58" s="34"/>
      <c r="J58" s="34"/>
      <c r="K58" s="34"/>
      <c r="L58" s="34"/>
      <c r="M58" s="34"/>
      <c r="N58" s="34"/>
      <c r="O58" s="34"/>
      <c r="P58" s="34"/>
      <c r="Q58" s="34"/>
      <c r="R58" s="34"/>
      <c r="S58" s="35"/>
      <c r="T58" s="35"/>
      <c r="U58" s="35"/>
      <c r="V58" s="126"/>
      <c r="W58" s="127"/>
      <c r="X58" s="128"/>
      <c r="Y58" s="7"/>
    </row>
    <row r="59" ht="16.5" customHeight="1">
      <c r="A59" s="79"/>
      <c r="B59" t="s" s="132">
        <v>79</v>
      </c>
      <c r="C59" t="s" s="90">
        <v>54</v>
      </c>
      <c r="D59" s="89"/>
      <c r="E59" t="s" s="90">
        <v>55</v>
      </c>
      <c r="F59" t="s" s="90">
        <v>8</v>
      </c>
      <c r="G59" t="s" s="90">
        <v>8</v>
      </c>
      <c r="H59" s="34"/>
      <c r="I59" s="34"/>
      <c r="J59" s="34"/>
      <c r="K59" s="34"/>
      <c r="L59" s="34"/>
      <c r="M59" s="34"/>
      <c r="N59" s="34"/>
      <c r="O59" s="34"/>
      <c r="P59" s="34"/>
      <c r="Q59" s="34"/>
      <c r="R59" s="34"/>
      <c r="S59" s="35"/>
      <c r="T59" s="35"/>
      <c r="U59" s="35"/>
      <c r="V59" s="126"/>
      <c r="W59" s="127"/>
      <c r="X59" s="128"/>
      <c r="Y59" s="7"/>
    </row>
    <row r="60" ht="16.5" customHeight="1">
      <c r="A60" s="79"/>
      <c r="B60" t="s" s="132">
        <v>8</v>
      </c>
      <c r="C60" t="s" s="94">
        <v>58</v>
      </c>
      <c r="D60" t="s" s="95">
        <v>8</v>
      </c>
      <c r="E60" s="89"/>
      <c r="F60" t="s" s="96">
        <v>8</v>
      </c>
      <c r="G60" t="s" s="96">
        <v>8</v>
      </c>
      <c r="H60" s="34"/>
      <c r="I60" s="34"/>
      <c r="J60" s="34"/>
      <c r="K60" s="34"/>
      <c r="L60" s="34"/>
      <c r="M60" s="34"/>
      <c r="N60" s="34"/>
      <c r="O60" s="34"/>
      <c r="P60" s="34"/>
      <c r="Q60" s="34"/>
      <c r="R60" s="34"/>
      <c r="S60" s="35"/>
      <c r="T60" s="35"/>
      <c r="U60" s="35"/>
      <c r="V60" s="126"/>
      <c r="W60" s="127"/>
      <c r="X60" s="128"/>
      <c r="Y60" s="7"/>
    </row>
    <row r="61" ht="13.55" customHeight="1">
      <c r="A61" s="79"/>
      <c r="B61" s="35"/>
      <c r="C61" s="35"/>
      <c r="D61" s="35"/>
      <c r="E61" s="35"/>
      <c r="F61" s="35"/>
      <c r="G61" s="35"/>
      <c r="H61" s="34"/>
      <c r="I61" s="34"/>
      <c r="J61" s="34"/>
      <c r="K61" s="34"/>
      <c r="L61" s="34"/>
      <c r="M61" s="34"/>
      <c r="N61" s="34"/>
      <c r="O61" s="34"/>
      <c r="P61" s="34"/>
      <c r="Q61" s="34"/>
      <c r="R61" s="34"/>
      <c r="S61" s="35"/>
      <c r="T61" s="35"/>
      <c r="U61" s="35"/>
      <c r="V61" s="126"/>
      <c r="W61" s="127"/>
      <c r="X61" s="128"/>
      <c r="Y61" s="7"/>
    </row>
    <row r="62" ht="13.55" customHeight="1">
      <c r="A62" s="79"/>
      <c r="B62" s="101">
        <v>45719</v>
      </c>
      <c r="C62" t="s" s="80">
        <v>222</v>
      </c>
      <c r="D62" t="s" s="80">
        <v>204</v>
      </c>
      <c r="E62" s="34"/>
      <c r="F62" s="34"/>
      <c r="G62" s="34">
        <v>35000</v>
      </c>
      <c r="H62" s="34"/>
      <c r="I62" s="34"/>
      <c r="J62" s="34"/>
      <c r="K62" s="34"/>
      <c r="L62" s="34"/>
      <c r="M62" s="34"/>
      <c r="N62" s="34" cm="1">
        <f t="array" ref="N62">G62</f>
        <v>35000</v>
      </c>
      <c r="O62" s="34"/>
      <c r="P62" s="34"/>
      <c r="Q62" s="34"/>
      <c r="R62" s="34"/>
      <c r="S62" s="35"/>
      <c r="T62" s="35"/>
      <c r="U62" s="35"/>
      <c r="V62" s="126"/>
      <c r="W62" s="127"/>
      <c r="X62" s="128"/>
      <c r="Y62" s="7"/>
    </row>
    <row r="63" ht="13.55" customHeight="1">
      <c r="A63" s="79"/>
      <c r="B63" s="101">
        <v>45719</v>
      </c>
      <c r="C63" t="s" s="80">
        <v>222</v>
      </c>
      <c r="D63" t="s" s="80">
        <v>204</v>
      </c>
      <c r="E63" s="34"/>
      <c r="F63" s="34"/>
      <c r="G63" s="34">
        <v>30000</v>
      </c>
      <c r="H63" s="34"/>
      <c r="I63" s="34"/>
      <c r="J63" s="34"/>
      <c r="K63" s="34"/>
      <c r="L63" s="34"/>
      <c r="M63" s="34"/>
      <c r="N63" s="34" cm="1">
        <f t="array" ref="N63">G63</f>
        <v>30000</v>
      </c>
      <c r="O63" s="34"/>
      <c r="P63" s="34"/>
      <c r="Q63" s="34"/>
      <c r="R63" s="34"/>
      <c r="S63" s="35"/>
      <c r="T63" s="35"/>
      <c r="U63" s="35"/>
      <c r="V63" s="126"/>
      <c r="W63" s="127"/>
      <c r="X63" s="128"/>
      <c r="Y63" s="7"/>
    </row>
    <row r="64" ht="13.55" customHeight="1">
      <c r="A64" s="79"/>
      <c r="B64" s="101">
        <v>45720</v>
      </c>
      <c r="C64" t="s" s="80">
        <v>223</v>
      </c>
      <c r="D64" t="s" s="80">
        <v>224</v>
      </c>
      <c r="E64" s="34"/>
      <c r="F64" s="34"/>
      <c r="G64" s="34">
        <v>93960</v>
      </c>
      <c r="H64" s="34"/>
      <c r="I64" s="34"/>
      <c r="J64" s="34"/>
      <c r="K64" s="34"/>
      <c r="L64" s="34"/>
      <c r="M64" s="34"/>
      <c r="N64" s="34"/>
      <c r="O64" s="34"/>
      <c r="P64" s="34"/>
      <c r="Q64" s="34"/>
      <c r="R64" s="34" cm="1">
        <f t="array" ref="R64">G64</f>
        <v>93960</v>
      </c>
      <c r="S64" s="35"/>
      <c r="T64" s="35"/>
      <c r="U64" s="35"/>
      <c r="V64" s="126"/>
      <c r="W64" s="127"/>
      <c r="X64" s="128"/>
      <c r="Y64" s="7"/>
    </row>
    <row r="65" ht="13.55" customHeight="1">
      <c r="A65" s="79"/>
      <c r="B65" s="101">
        <v>45723</v>
      </c>
      <c r="C65" t="s" s="80">
        <v>225</v>
      </c>
      <c r="D65" t="s" s="80">
        <v>204</v>
      </c>
      <c r="E65" s="34"/>
      <c r="F65" s="34"/>
      <c r="G65" s="34">
        <v>29000</v>
      </c>
      <c r="H65" s="34"/>
      <c r="I65" s="34"/>
      <c r="J65" s="34"/>
      <c r="K65" s="34"/>
      <c r="L65" s="34"/>
      <c r="M65" s="34"/>
      <c r="N65" s="34" cm="1">
        <f t="array" ref="N65">G65</f>
        <v>29000</v>
      </c>
      <c r="O65" s="34"/>
      <c r="P65" s="34"/>
      <c r="Q65" s="34"/>
      <c r="R65" s="34"/>
      <c r="S65" s="35"/>
      <c r="T65" s="35"/>
      <c r="U65" s="35"/>
      <c r="V65" s="126"/>
      <c r="W65" s="127"/>
      <c r="X65" s="128"/>
      <c r="Y65" s="7"/>
    </row>
    <row r="66" ht="13.55" customHeight="1">
      <c r="A66" s="79"/>
      <c r="B66" s="101">
        <v>45723</v>
      </c>
      <c r="C66" t="s" s="80">
        <v>99</v>
      </c>
      <c r="D66" t="s" s="80">
        <v>226</v>
      </c>
      <c r="E66" s="34"/>
      <c r="F66" s="34"/>
      <c r="G66" s="34">
        <v>500</v>
      </c>
      <c r="H66" s="34"/>
      <c r="I66" s="34"/>
      <c r="J66" s="34"/>
      <c r="K66" s="34"/>
      <c r="L66" s="34"/>
      <c r="M66" s="34"/>
      <c r="N66" s="34"/>
      <c r="O66" s="34" cm="1">
        <f t="array" ref="O66">G66</f>
        <v>500</v>
      </c>
      <c r="P66" s="34"/>
      <c r="Q66" s="34"/>
      <c r="R66" s="34"/>
      <c r="S66" s="35"/>
      <c r="T66" s="35"/>
      <c r="U66" s="35"/>
      <c r="V66" s="126"/>
      <c r="W66" s="127"/>
      <c r="X66" s="128"/>
      <c r="Y66" s="7"/>
    </row>
    <row r="67" ht="13.55" customHeight="1">
      <c r="A67" s="79"/>
      <c r="B67" s="101">
        <v>45723</v>
      </c>
      <c r="C67" t="s" s="80">
        <v>99</v>
      </c>
      <c r="D67" t="s" s="80">
        <v>206</v>
      </c>
      <c r="E67" s="34"/>
      <c r="F67" s="34"/>
      <c r="G67" s="34">
        <v>80</v>
      </c>
      <c r="H67" s="34"/>
      <c r="I67" s="34"/>
      <c r="J67" s="34"/>
      <c r="K67" s="34"/>
      <c r="L67" s="34"/>
      <c r="M67" s="34"/>
      <c r="N67" s="34"/>
      <c r="O67" s="34" cm="1">
        <f t="array" ref="O67">G67</f>
        <v>80</v>
      </c>
      <c r="P67" s="34"/>
      <c r="Q67" s="34"/>
      <c r="R67" s="34"/>
      <c r="S67" s="35"/>
      <c r="T67" s="35"/>
      <c r="U67" s="35"/>
      <c r="V67" s="126"/>
      <c r="W67" s="127"/>
      <c r="X67" s="128"/>
      <c r="Y67" s="7"/>
    </row>
    <row r="68" ht="13.55" customHeight="1">
      <c r="A68" s="79"/>
      <c r="B68" s="101">
        <v>45727</v>
      </c>
      <c r="C68" t="s" s="80">
        <v>195</v>
      </c>
      <c r="D68" t="s" s="80">
        <v>227</v>
      </c>
      <c r="E68" s="34"/>
      <c r="F68" s="34"/>
      <c r="G68" s="34">
        <v>3670</v>
      </c>
      <c r="H68" s="34"/>
      <c r="I68" s="34"/>
      <c r="J68" s="34"/>
      <c r="K68" s="34"/>
      <c r="L68" s="34" cm="1">
        <f t="array" ref="L68">G68</f>
        <v>3670</v>
      </c>
      <c r="M68" s="34"/>
      <c r="N68" s="34"/>
      <c r="O68" s="34"/>
      <c r="P68" s="34"/>
      <c r="Q68" s="34"/>
      <c r="R68" s="34"/>
      <c r="S68" s="35"/>
      <c r="T68" s="35"/>
      <c r="U68" s="35"/>
      <c r="V68" s="126"/>
      <c r="W68" s="127"/>
      <c r="X68" s="128"/>
      <c r="Y68" s="7"/>
    </row>
    <row r="69" ht="13.55" customHeight="1">
      <c r="A69" s="79"/>
      <c r="B69" s="101">
        <v>45727</v>
      </c>
      <c r="C69" t="s" s="80">
        <v>195</v>
      </c>
      <c r="D69" t="s" s="80">
        <v>228</v>
      </c>
      <c r="E69" s="34"/>
      <c r="F69" s="34"/>
      <c r="G69" s="34">
        <v>1100</v>
      </c>
      <c r="H69" s="34"/>
      <c r="I69" s="34"/>
      <c r="J69" s="34"/>
      <c r="K69" s="34"/>
      <c r="L69" s="34" cm="1">
        <f t="array" ref="L69">G69</f>
        <v>1100</v>
      </c>
      <c r="M69" s="34"/>
      <c r="N69" s="34"/>
      <c r="O69" s="34"/>
      <c r="P69" s="34"/>
      <c r="Q69" s="34"/>
      <c r="R69" s="34"/>
      <c r="S69" s="35"/>
      <c r="T69" s="35"/>
      <c r="U69" s="35"/>
      <c r="V69" s="126"/>
      <c r="W69" s="127"/>
      <c r="X69" s="128"/>
      <c r="Y69" s="7"/>
    </row>
    <row r="70" ht="13.55" customHeight="1">
      <c r="A70" s="79"/>
      <c r="B70" s="101">
        <v>45727</v>
      </c>
      <c r="C70" t="s" s="80">
        <v>229</v>
      </c>
      <c r="D70" t="s" s="80">
        <v>230</v>
      </c>
      <c r="E70" s="34"/>
      <c r="F70" s="34"/>
      <c r="G70" s="34">
        <v>13272.32</v>
      </c>
      <c r="H70" s="34"/>
      <c r="I70" s="34"/>
      <c r="J70" s="34"/>
      <c r="K70" s="34" cm="1">
        <f t="array" ref="K70">G70</f>
        <v>13272.32</v>
      </c>
      <c r="L70" s="34"/>
      <c r="M70" s="34"/>
      <c r="N70" s="34"/>
      <c r="O70" s="34"/>
      <c r="P70" s="34"/>
      <c r="Q70" s="34"/>
      <c r="R70" s="34"/>
      <c r="S70" s="35"/>
      <c r="T70" s="35"/>
      <c r="U70" s="35"/>
      <c r="V70" s="126"/>
      <c r="W70" s="127"/>
      <c r="X70" s="128"/>
      <c r="Y70" s="7"/>
    </row>
    <row r="71" ht="13.55" customHeight="1">
      <c r="A71" s="79"/>
      <c r="B71" s="101">
        <v>45727</v>
      </c>
      <c r="C71" t="s" s="80">
        <v>231</v>
      </c>
      <c r="D71" t="s" s="80">
        <v>232</v>
      </c>
      <c r="E71" s="34"/>
      <c r="F71" s="34"/>
      <c r="G71" s="34">
        <v>4640</v>
      </c>
      <c r="H71" s="34"/>
      <c r="I71" s="34" cm="1">
        <f t="array" ref="I71">G71</f>
        <v>4640</v>
      </c>
      <c r="J71" s="34"/>
      <c r="K71" s="34"/>
      <c r="L71" s="34"/>
      <c r="M71" s="34"/>
      <c r="N71" s="34"/>
      <c r="O71" s="34"/>
      <c r="P71" s="34"/>
      <c r="Q71" s="34"/>
      <c r="R71" s="34"/>
      <c r="S71" s="35"/>
      <c r="T71" s="35"/>
      <c r="U71" s="35"/>
      <c r="V71" s="126"/>
      <c r="W71" s="127"/>
      <c r="X71" s="128"/>
      <c r="Y71" s="7"/>
    </row>
    <row r="72" ht="13.55" customHeight="1">
      <c r="A72" s="79"/>
      <c r="B72" s="101">
        <v>45734</v>
      </c>
      <c r="C72" t="s" s="80">
        <v>233</v>
      </c>
      <c r="D72" t="s" s="80">
        <v>219</v>
      </c>
      <c r="E72" s="34"/>
      <c r="F72" s="34"/>
      <c r="G72" s="34">
        <v>14002.08</v>
      </c>
      <c r="H72" s="34"/>
      <c r="I72" s="34"/>
      <c r="J72" s="34"/>
      <c r="K72" s="34"/>
      <c r="L72" s="34"/>
      <c r="M72" s="34" cm="1">
        <f t="array" ref="M72">G72</f>
        <v>14002.08</v>
      </c>
      <c r="N72" s="34"/>
      <c r="O72" s="34"/>
      <c r="P72" s="34"/>
      <c r="Q72" s="34"/>
      <c r="R72" s="34"/>
      <c r="S72" s="35"/>
      <c r="T72" s="35"/>
      <c r="U72" s="35"/>
      <c r="V72" s="126"/>
      <c r="W72" s="127"/>
      <c r="X72" s="128"/>
      <c r="Y72" s="7"/>
    </row>
    <row r="73" ht="13.55" customHeight="1">
      <c r="A73" s="79"/>
      <c r="B73" s="101">
        <v>45734</v>
      </c>
      <c r="C73" t="s" s="80">
        <v>99</v>
      </c>
      <c r="D73" t="s" s="80">
        <v>234</v>
      </c>
      <c r="E73" s="34"/>
      <c r="F73" s="34"/>
      <c r="G73" s="34">
        <v>10</v>
      </c>
      <c r="H73" s="34"/>
      <c r="I73" s="34"/>
      <c r="J73" s="34"/>
      <c r="K73" s="34"/>
      <c r="L73" s="34"/>
      <c r="M73" s="34"/>
      <c r="N73" s="34"/>
      <c r="O73" s="34" cm="1">
        <f t="array" ref="O73">G73</f>
        <v>10</v>
      </c>
      <c r="P73" s="34"/>
      <c r="Q73" s="34"/>
      <c r="R73" s="34"/>
      <c r="S73" s="35"/>
      <c r="T73" s="35"/>
      <c r="U73" s="35"/>
      <c r="V73" s="126"/>
      <c r="W73" s="127"/>
      <c r="X73" s="128"/>
      <c r="Y73" s="7"/>
    </row>
    <row r="74" ht="13.55" customHeight="1">
      <c r="A74" s="79"/>
      <c r="B74" s="101">
        <v>45734</v>
      </c>
      <c r="C74" t="s" s="80">
        <v>99</v>
      </c>
      <c r="D74" t="s" s="80">
        <v>206</v>
      </c>
      <c r="E74" s="34"/>
      <c r="F74" s="34"/>
      <c r="G74" s="34">
        <v>1.6</v>
      </c>
      <c r="H74" s="34"/>
      <c r="I74" s="34"/>
      <c r="J74" s="34"/>
      <c r="K74" s="34"/>
      <c r="L74" s="34"/>
      <c r="M74" s="34"/>
      <c r="N74" s="34"/>
      <c r="O74" s="34"/>
      <c r="P74" s="34" cm="1">
        <f t="array" ref="P74">G74</f>
        <v>1.6</v>
      </c>
      <c r="Q74" s="34"/>
      <c r="R74" s="34"/>
      <c r="S74" s="35"/>
      <c r="T74" s="35"/>
      <c r="U74" s="35"/>
      <c r="V74" s="126"/>
      <c r="W74" s="127"/>
      <c r="X74" s="128"/>
      <c r="Y74" s="7"/>
    </row>
    <row r="75" ht="13.55" customHeight="1">
      <c r="A75" s="79"/>
      <c r="B75" s="101">
        <v>45734</v>
      </c>
      <c r="C75" t="s" s="80">
        <v>99</v>
      </c>
      <c r="D75" t="s" s="80">
        <v>235</v>
      </c>
      <c r="E75" s="34"/>
      <c r="F75" s="34"/>
      <c r="G75" s="34">
        <v>665.23</v>
      </c>
      <c r="H75" s="34"/>
      <c r="I75" s="34"/>
      <c r="J75" s="34"/>
      <c r="K75" s="34"/>
      <c r="L75" s="34"/>
      <c r="M75" s="34"/>
      <c r="N75" s="34"/>
      <c r="O75" s="34" cm="1">
        <f t="array" ref="O75">G75</f>
        <v>665.23</v>
      </c>
      <c r="P75" s="34"/>
      <c r="Q75" s="34"/>
      <c r="R75" s="34"/>
      <c r="S75" s="35"/>
      <c r="T75" s="35"/>
      <c r="U75" s="35"/>
      <c r="V75" s="126"/>
      <c r="W75" s="127"/>
      <c r="X75" s="128"/>
      <c r="Y75" s="7"/>
    </row>
    <row r="76" ht="13.55" customHeight="1">
      <c r="A76" s="79"/>
      <c r="B76" s="101">
        <v>45734</v>
      </c>
      <c r="C76" t="s" s="80">
        <v>99</v>
      </c>
      <c r="D76" t="s" s="80">
        <v>236</v>
      </c>
      <c r="E76" s="34"/>
      <c r="F76" s="34"/>
      <c r="G76" s="34">
        <v>106.44</v>
      </c>
      <c r="H76" s="34"/>
      <c r="I76" s="34"/>
      <c r="J76" s="34"/>
      <c r="K76" s="34"/>
      <c r="L76" s="34"/>
      <c r="M76" s="34"/>
      <c r="N76" s="34"/>
      <c r="O76" s="34"/>
      <c r="P76" s="34" cm="1">
        <f t="array" ref="P76">G76</f>
        <v>106.44</v>
      </c>
      <c r="Q76" s="34"/>
      <c r="R76" s="34"/>
      <c r="S76" s="35"/>
      <c r="T76" s="35"/>
      <c r="U76" s="35"/>
      <c r="V76" s="126"/>
      <c r="W76" s="127"/>
      <c r="X76" s="128"/>
      <c r="Y76" s="7"/>
    </row>
    <row r="77" ht="13.55" customHeight="1">
      <c r="A77" s="79"/>
      <c r="B77" s="101">
        <v>45734</v>
      </c>
      <c r="C77" t="s" s="80">
        <v>99</v>
      </c>
      <c r="D77" t="s" s="80">
        <v>235</v>
      </c>
      <c r="E77" s="34"/>
      <c r="F77" s="34"/>
      <c r="G77" s="34">
        <v>2117.75</v>
      </c>
      <c r="H77" s="34"/>
      <c r="I77" s="34"/>
      <c r="J77" s="34"/>
      <c r="K77" s="34"/>
      <c r="L77" s="34"/>
      <c r="M77" s="34"/>
      <c r="N77" s="34"/>
      <c r="O77" s="34" cm="1">
        <f t="array" ref="O77">G77</f>
        <v>2117.75</v>
      </c>
      <c r="P77" s="34"/>
      <c r="Q77" s="34"/>
      <c r="R77" s="34"/>
      <c r="S77" s="35"/>
      <c r="T77" s="35"/>
      <c r="U77" s="35"/>
      <c r="V77" s="126"/>
      <c r="W77" s="127"/>
      <c r="X77" s="128"/>
      <c r="Y77" s="7"/>
    </row>
    <row r="78" ht="13.55" customHeight="1">
      <c r="A78" s="79"/>
      <c r="B78" s="101">
        <v>45734</v>
      </c>
      <c r="C78" t="s" s="80">
        <v>99</v>
      </c>
      <c r="D78" t="s" s="80">
        <v>236</v>
      </c>
      <c r="E78" s="34"/>
      <c r="F78" s="34"/>
      <c r="G78" s="34">
        <v>338.84</v>
      </c>
      <c r="H78" s="34"/>
      <c r="I78" s="34"/>
      <c r="J78" s="34"/>
      <c r="K78" s="34"/>
      <c r="L78" s="34"/>
      <c r="M78" s="34"/>
      <c r="N78" s="34"/>
      <c r="O78" s="34"/>
      <c r="P78" s="34" cm="1">
        <f t="array" ref="P78">G78</f>
        <v>338.84</v>
      </c>
      <c r="Q78" s="34"/>
      <c r="R78" s="34"/>
      <c r="S78" s="35"/>
      <c r="T78" s="35"/>
      <c r="U78" s="35"/>
      <c r="V78" s="126"/>
      <c r="W78" s="127"/>
      <c r="X78" s="128"/>
      <c r="Y78" s="7"/>
    </row>
    <row r="79" ht="13.55" customHeight="1">
      <c r="A79" s="79"/>
      <c r="B79" s="101">
        <v>45735</v>
      </c>
      <c r="C79" t="s" s="80">
        <v>99</v>
      </c>
      <c r="D79" t="s" s="80">
        <v>237</v>
      </c>
      <c r="E79" s="34"/>
      <c r="F79" s="34"/>
      <c r="G79" s="34">
        <v>0</v>
      </c>
      <c r="H79" s="34"/>
      <c r="I79" s="34"/>
      <c r="J79" s="34"/>
      <c r="K79" s="34"/>
      <c r="L79" s="34"/>
      <c r="M79" s="34"/>
      <c r="N79" s="34"/>
      <c r="O79" s="34" cm="1">
        <f t="array" ref="O79">G79</f>
        <v>0</v>
      </c>
      <c r="P79" s="34"/>
      <c r="Q79" s="34"/>
      <c r="R79" s="34"/>
      <c r="S79" s="35"/>
      <c r="T79" s="35"/>
      <c r="U79" s="35"/>
      <c r="V79" s="126"/>
      <c r="W79" s="127"/>
      <c r="X79" s="128"/>
      <c r="Y79" s="7"/>
    </row>
    <row r="80" ht="13.55" customHeight="1">
      <c r="A80" s="79"/>
      <c r="B80" s="101">
        <v>45735</v>
      </c>
      <c r="C80" t="s" s="80">
        <v>99</v>
      </c>
      <c r="D80" t="s" s="80">
        <v>235</v>
      </c>
      <c r="E80" s="34"/>
      <c r="F80" s="34"/>
      <c r="G80" s="34">
        <v>506.35</v>
      </c>
      <c r="H80" s="34"/>
      <c r="I80" s="34"/>
      <c r="J80" s="34"/>
      <c r="K80" s="34"/>
      <c r="L80" s="34"/>
      <c r="M80" s="34"/>
      <c r="N80" s="34"/>
      <c r="O80" s="34" cm="1">
        <f t="array" ref="O80">G80</f>
        <v>506.35</v>
      </c>
      <c r="P80" s="34"/>
      <c r="Q80" s="34"/>
      <c r="R80" s="34"/>
      <c r="S80" s="35"/>
      <c r="T80" s="35"/>
      <c r="U80" s="35"/>
      <c r="V80" s="126"/>
      <c r="W80" s="127"/>
      <c r="X80" s="128"/>
      <c r="Y80" s="7"/>
    </row>
    <row r="81" ht="13.55" customHeight="1">
      <c r="A81" s="79"/>
      <c r="B81" s="101">
        <v>45735</v>
      </c>
      <c r="C81" t="s" s="80">
        <v>99</v>
      </c>
      <c r="D81" t="s" s="80">
        <v>236</v>
      </c>
      <c r="E81" s="34"/>
      <c r="F81" s="34"/>
      <c r="G81" s="34">
        <v>80.98999999999999</v>
      </c>
      <c r="H81" s="34"/>
      <c r="I81" s="34"/>
      <c r="J81" s="34"/>
      <c r="K81" s="34"/>
      <c r="L81" s="34"/>
      <c r="M81" s="34"/>
      <c r="N81" s="34"/>
      <c r="O81" s="34"/>
      <c r="P81" s="34" cm="1">
        <f t="array" ref="P81">G81</f>
        <v>80.98999999999999</v>
      </c>
      <c r="Q81" s="34"/>
      <c r="R81" s="34"/>
      <c r="S81" s="35"/>
      <c r="T81" s="35"/>
      <c r="U81" s="35"/>
      <c r="V81" s="126"/>
      <c r="W81" s="127"/>
      <c r="X81" s="128"/>
      <c r="Y81" s="7"/>
    </row>
    <row r="82" ht="13.55" customHeight="1">
      <c r="A82" s="79"/>
      <c r="B82" s="101">
        <v>45736</v>
      </c>
      <c r="C82" t="s" s="80">
        <v>99</v>
      </c>
      <c r="D82" t="s" s="80">
        <v>235</v>
      </c>
      <c r="E82" s="34"/>
      <c r="F82" s="34"/>
      <c r="G82" s="34">
        <v>28.5</v>
      </c>
      <c r="H82" s="34"/>
      <c r="I82" s="34"/>
      <c r="J82" s="34"/>
      <c r="K82" s="34"/>
      <c r="L82" s="34"/>
      <c r="M82" s="34"/>
      <c r="N82" s="34"/>
      <c r="O82" s="34" cm="1">
        <f t="array" ref="O82">G82</f>
        <v>28.5</v>
      </c>
      <c r="P82" s="34"/>
      <c r="Q82" s="34"/>
      <c r="R82" s="34"/>
      <c r="S82" s="35"/>
      <c r="T82" s="35"/>
      <c r="U82" s="35"/>
      <c r="V82" s="126"/>
      <c r="W82" s="127"/>
      <c r="X82" s="128"/>
      <c r="Y82" s="7"/>
    </row>
    <row r="83" ht="13.55" customHeight="1">
      <c r="A83" s="79"/>
      <c r="B83" s="101">
        <v>45736</v>
      </c>
      <c r="C83" t="s" s="80">
        <v>99</v>
      </c>
      <c r="D83" t="s" s="80">
        <v>236</v>
      </c>
      <c r="E83" s="34"/>
      <c r="F83" s="34"/>
      <c r="G83" s="34">
        <v>4.56</v>
      </c>
      <c r="H83" s="34"/>
      <c r="I83" s="34"/>
      <c r="J83" s="34"/>
      <c r="K83" s="34"/>
      <c r="L83" s="34"/>
      <c r="M83" s="34"/>
      <c r="N83" s="34"/>
      <c r="O83" s="34"/>
      <c r="P83" s="34" cm="1">
        <f t="array" ref="P83">G83</f>
        <v>4.56</v>
      </c>
      <c r="Q83" s="34"/>
      <c r="R83" s="34"/>
      <c r="S83" s="35"/>
      <c r="T83" s="35"/>
      <c r="U83" s="35"/>
      <c r="V83" s="126"/>
      <c r="W83" s="127"/>
      <c r="X83" s="128"/>
      <c r="Y83" s="7"/>
    </row>
    <row r="84" ht="13.55" customHeight="1">
      <c r="A84" s="79"/>
      <c r="B84" s="101">
        <v>45736</v>
      </c>
      <c r="C84" t="s" s="80">
        <v>99</v>
      </c>
      <c r="D84" t="s" s="80">
        <v>237</v>
      </c>
      <c r="E84" s="34"/>
      <c r="F84" s="34"/>
      <c r="G84" s="34">
        <v>0</v>
      </c>
      <c r="H84" s="34"/>
      <c r="I84" s="34"/>
      <c r="J84" s="34"/>
      <c r="K84" s="34"/>
      <c r="L84" s="34"/>
      <c r="M84" s="34"/>
      <c r="N84" s="34"/>
      <c r="O84" s="34" cm="1">
        <f t="array" ref="O84">G84</f>
        <v>0</v>
      </c>
      <c r="P84" s="34"/>
      <c r="Q84" s="34"/>
      <c r="R84" s="34"/>
      <c r="S84" s="35"/>
      <c r="T84" s="35"/>
      <c r="U84" s="35"/>
      <c r="V84" s="126"/>
      <c r="W84" s="127"/>
      <c r="X84" s="128"/>
      <c r="Y84" s="7"/>
    </row>
    <row r="85" ht="13.55" customHeight="1">
      <c r="A85" s="79"/>
      <c r="B85" s="101">
        <v>45736</v>
      </c>
      <c r="C85" t="s" s="80">
        <v>99</v>
      </c>
      <c r="D85" t="s" s="80">
        <v>235</v>
      </c>
      <c r="E85" s="34"/>
      <c r="F85" s="34"/>
      <c r="G85" s="34">
        <v>25</v>
      </c>
      <c r="H85" s="34"/>
      <c r="I85" s="34"/>
      <c r="J85" s="34"/>
      <c r="K85" s="34"/>
      <c r="L85" s="34"/>
      <c r="M85" s="34"/>
      <c r="N85" s="34"/>
      <c r="O85" s="34" cm="1">
        <f t="array" ref="O85">G85</f>
        <v>25</v>
      </c>
      <c r="P85" s="34"/>
      <c r="Q85" s="34"/>
      <c r="R85" s="34"/>
      <c r="S85" s="35"/>
      <c r="T85" s="35"/>
      <c r="U85" s="35"/>
      <c r="V85" s="126"/>
      <c r="W85" s="127"/>
      <c r="X85" s="128"/>
      <c r="Y85" s="7"/>
    </row>
    <row r="86" ht="13.55" customHeight="1">
      <c r="A86" s="79"/>
      <c r="B86" s="101">
        <v>45736</v>
      </c>
      <c r="C86" t="s" s="80">
        <v>99</v>
      </c>
      <c r="D86" t="s" s="80">
        <v>236</v>
      </c>
      <c r="E86" s="34"/>
      <c r="F86" s="34"/>
      <c r="G86" s="34">
        <v>4</v>
      </c>
      <c r="H86" s="34"/>
      <c r="I86" s="34"/>
      <c r="J86" s="34"/>
      <c r="K86" s="34"/>
      <c r="L86" s="34"/>
      <c r="M86" s="34"/>
      <c r="N86" s="34"/>
      <c r="O86" s="34"/>
      <c r="P86" s="34" cm="1">
        <f t="array" ref="P86">G86</f>
        <v>4</v>
      </c>
      <c r="Q86" s="34"/>
      <c r="R86" s="34"/>
      <c r="S86" s="35"/>
      <c r="T86" s="35"/>
      <c r="U86" s="35"/>
      <c r="V86" s="126"/>
      <c r="W86" s="127"/>
      <c r="X86" s="128"/>
      <c r="Y86" s="7"/>
    </row>
    <row r="87" ht="13.55" customHeight="1">
      <c r="A87" s="79"/>
      <c r="B87" s="101">
        <v>45736</v>
      </c>
      <c r="C87" t="s" s="80">
        <v>99</v>
      </c>
      <c r="D87" t="s" s="80">
        <v>237</v>
      </c>
      <c r="E87" s="34"/>
      <c r="F87" s="34"/>
      <c r="G87" s="34">
        <v>0</v>
      </c>
      <c r="H87" s="34"/>
      <c r="I87" s="34"/>
      <c r="J87" s="34"/>
      <c r="K87" s="34"/>
      <c r="L87" s="34"/>
      <c r="M87" s="34"/>
      <c r="N87" s="34"/>
      <c r="O87" s="34" cm="1">
        <f t="array" ref="O87">G87</f>
        <v>0</v>
      </c>
      <c r="P87" s="34"/>
      <c r="Q87" s="34"/>
      <c r="R87" s="34"/>
      <c r="S87" s="35"/>
      <c r="T87" s="35"/>
      <c r="U87" s="35"/>
      <c r="V87" s="126"/>
      <c r="W87" s="127"/>
      <c r="X87" s="128"/>
      <c r="Y87" s="7"/>
    </row>
    <row r="88" ht="13.55" customHeight="1">
      <c r="A88" s="79"/>
      <c r="B88" s="101">
        <v>45740</v>
      </c>
      <c r="C88" t="s" s="80">
        <v>99</v>
      </c>
      <c r="D88" t="s" s="80">
        <v>235</v>
      </c>
      <c r="E88" s="34"/>
      <c r="F88" s="34"/>
      <c r="G88" s="34">
        <v>14.75</v>
      </c>
      <c r="H88" s="34"/>
      <c r="I88" s="34"/>
      <c r="J88" s="34"/>
      <c r="K88" s="34"/>
      <c r="L88" s="34"/>
      <c r="M88" s="34"/>
      <c r="N88" s="34"/>
      <c r="O88" s="34" cm="1">
        <f t="array" ref="O88">G88</f>
        <v>14.75</v>
      </c>
      <c r="P88" s="34"/>
      <c r="Q88" s="34"/>
      <c r="R88" s="34"/>
      <c r="S88" s="35"/>
      <c r="T88" s="35"/>
      <c r="U88" s="35"/>
      <c r="V88" s="126"/>
      <c r="W88" s="127"/>
      <c r="X88" s="128"/>
      <c r="Y88" s="7"/>
    </row>
    <row r="89" ht="13.55" customHeight="1">
      <c r="A89" s="79"/>
      <c r="B89" s="101">
        <v>45740</v>
      </c>
      <c r="C89" t="s" s="80">
        <v>99</v>
      </c>
      <c r="D89" t="s" s="80">
        <v>236</v>
      </c>
      <c r="E89" s="34"/>
      <c r="F89" s="34"/>
      <c r="G89" s="34">
        <v>2.36</v>
      </c>
      <c r="H89" s="34"/>
      <c r="I89" s="34"/>
      <c r="J89" s="34"/>
      <c r="K89" s="34"/>
      <c r="L89" s="34"/>
      <c r="M89" s="34"/>
      <c r="N89" s="34"/>
      <c r="O89" s="34"/>
      <c r="P89" s="34" cm="1">
        <f t="array" ref="P89">G89</f>
        <v>2.36</v>
      </c>
      <c r="Q89" s="34"/>
      <c r="R89" s="34"/>
      <c r="S89" s="35"/>
      <c r="T89" s="35"/>
      <c r="U89" s="35"/>
      <c r="V89" s="126"/>
      <c r="W89" s="127"/>
      <c r="X89" s="128"/>
      <c r="Y89" s="7"/>
    </row>
    <row r="90" ht="13.55" customHeight="1">
      <c r="A90" s="79"/>
      <c r="B90" s="101">
        <v>45740</v>
      </c>
      <c r="C90" t="s" s="80">
        <v>99</v>
      </c>
      <c r="D90" t="s" s="80">
        <v>235</v>
      </c>
      <c r="E90" s="34"/>
      <c r="F90" s="34"/>
      <c r="G90" s="34">
        <v>14.75</v>
      </c>
      <c r="H90" s="34"/>
      <c r="I90" s="34"/>
      <c r="J90" s="34"/>
      <c r="K90" s="34"/>
      <c r="L90" s="34"/>
      <c r="M90" s="34"/>
      <c r="N90" s="34"/>
      <c r="O90" s="34" cm="1">
        <f t="array" ref="O90">G90</f>
        <v>14.75</v>
      </c>
      <c r="P90" s="34"/>
      <c r="Q90" s="34"/>
      <c r="R90" s="34"/>
      <c r="S90" s="35"/>
      <c r="T90" s="35"/>
      <c r="U90" s="35"/>
      <c r="V90" s="126"/>
      <c r="W90" s="127"/>
      <c r="X90" s="128"/>
      <c r="Y90" s="7"/>
    </row>
    <row r="91" ht="13.55" customHeight="1">
      <c r="A91" s="79"/>
      <c r="B91" s="101">
        <v>45740</v>
      </c>
      <c r="C91" t="s" s="80">
        <v>99</v>
      </c>
      <c r="D91" t="s" s="80">
        <v>236</v>
      </c>
      <c r="E91" s="34"/>
      <c r="F91" s="34"/>
      <c r="G91" s="34">
        <v>2.36</v>
      </c>
      <c r="H91" s="34"/>
      <c r="I91" s="34"/>
      <c r="J91" s="34"/>
      <c r="K91" s="34"/>
      <c r="L91" s="34"/>
      <c r="M91" s="34"/>
      <c r="N91" s="34"/>
      <c r="O91" s="34"/>
      <c r="P91" s="34" cm="1">
        <f t="array" ref="P91">G91</f>
        <v>2.36</v>
      </c>
      <c r="Q91" s="34"/>
      <c r="R91" s="34"/>
      <c r="S91" s="35"/>
      <c r="T91" s="35"/>
      <c r="U91" s="35"/>
      <c r="V91" s="126"/>
      <c r="W91" s="127"/>
      <c r="X91" s="128"/>
      <c r="Y91" s="7"/>
    </row>
    <row r="92" ht="13.55" customHeight="1">
      <c r="A92" s="79"/>
      <c r="B92" s="101">
        <v>45744</v>
      </c>
      <c r="C92" t="s" s="80">
        <v>238</v>
      </c>
      <c r="D92" t="s" s="80">
        <v>239</v>
      </c>
      <c r="E92" s="34"/>
      <c r="F92" s="34"/>
      <c r="G92" s="34">
        <v>2683.54</v>
      </c>
      <c r="H92" s="34"/>
      <c r="I92" s="34"/>
      <c r="J92" s="34"/>
      <c r="K92" s="34"/>
      <c r="L92" s="34"/>
      <c r="M92" s="34"/>
      <c r="N92" s="34"/>
      <c r="O92" s="34"/>
      <c r="P92" s="34"/>
      <c r="Q92" s="34" cm="1">
        <f t="array" ref="Q92">G92</f>
        <v>2683.54</v>
      </c>
      <c r="R92" s="34"/>
      <c r="S92" s="35"/>
      <c r="T92" s="35"/>
      <c r="U92" s="35"/>
      <c r="V92" s="126"/>
      <c r="W92" s="127"/>
      <c r="X92" s="128"/>
      <c r="Y92" s="7"/>
    </row>
    <row r="93" ht="13.55" customHeight="1">
      <c r="A93" s="79"/>
      <c r="B93" s="101">
        <v>45744</v>
      </c>
      <c r="C93" t="s" s="80">
        <v>233</v>
      </c>
      <c r="D93" t="s" s="80">
        <v>240</v>
      </c>
      <c r="E93" s="34"/>
      <c r="F93" s="34"/>
      <c r="G93" s="34">
        <v>13973.13</v>
      </c>
      <c r="H93" s="34"/>
      <c r="I93" s="34"/>
      <c r="J93" s="34"/>
      <c r="K93" s="34"/>
      <c r="L93" s="34"/>
      <c r="M93" s="34" cm="1">
        <f t="array" ref="M93">G93</f>
        <v>13973.13</v>
      </c>
      <c r="N93" s="34"/>
      <c r="O93" s="34"/>
      <c r="P93" s="34"/>
      <c r="Q93" s="34"/>
      <c r="R93" s="34"/>
      <c r="S93" s="35"/>
      <c r="T93" s="35"/>
      <c r="U93" s="35"/>
      <c r="V93" s="126"/>
      <c r="W93" s="127"/>
      <c r="X93" s="128"/>
      <c r="Y93" s="7"/>
    </row>
    <row r="94" ht="13.55" customHeight="1">
      <c r="A94" s="79"/>
      <c r="B94" s="101">
        <v>45744</v>
      </c>
      <c r="C94" t="s" s="80">
        <v>99</v>
      </c>
      <c r="D94" t="s" s="80">
        <v>241</v>
      </c>
      <c r="E94" s="34"/>
      <c r="F94" s="34"/>
      <c r="G94" s="34">
        <v>10</v>
      </c>
      <c r="H94" s="34"/>
      <c r="I94" s="34"/>
      <c r="J94" s="34"/>
      <c r="K94" s="34"/>
      <c r="L94" s="34"/>
      <c r="M94" s="34"/>
      <c r="N94" s="34"/>
      <c r="O94" s="34" cm="1">
        <f t="array" ref="O94">G94</f>
        <v>10</v>
      </c>
      <c r="P94" s="34"/>
      <c r="Q94" s="34"/>
      <c r="R94" s="34"/>
      <c r="S94" s="35"/>
      <c r="T94" s="35"/>
      <c r="U94" s="35"/>
      <c r="V94" s="126"/>
      <c r="W94" s="127"/>
      <c r="X94" s="128"/>
      <c r="Y94" s="7"/>
    </row>
    <row r="95" ht="13.55" customHeight="1">
      <c r="A95" s="79"/>
      <c r="B95" s="101">
        <v>45747</v>
      </c>
      <c r="C95" t="s" s="80">
        <v>99</v>
      </c>
      <c r="D95" t="s" s="80">
        <v>242</v>
      </c>
      <c r="E95" s="34"/>
      <c r="F95" s="34"/>
      <c r="G95" s="34">
        <v>1.6</v>
      </c>
      <c r="H95" s="34"/>
      <c r="I95" s="34"/>
      <c r="J95" s="34"/>
      <c r="K95" s="34"/>
      <c r="L95" s="34"/>
      <c r="M95" s="34"/>
      <c r="N95" s="34"/>
      <c r="O95" s="34"/>
      <c r="P95" s="34" cm="1">
        <f t="array" ref="P95">G95</f>
        <v>1.6</v>
      </c>
      <c r="Q95" s="34"/>
      <c r="R95" s="34"/>
      <c r="S95" s="35"/>
      <c r="T95" s="35"/>
      <c r="U95" s="35"/>
      <c r="V95" s="126"/>
      <c r="W95" s="127"/>
      <c r="X95" s="128"/>
      <c r="Y95" s="7"/>
    </row>
    <row r="96" ht="13.55" customHeight="1">
      <c r="A96" s="79"/>
      <c r="B96" s="101">
        <v>45747</v>
      </c>
      <c r="C96" t="s" s="80">
        <v>99</v>
      </c>
      <c r="D96" t="s" s="80">
        <v>243</v>
      </c>
      <c r="E96" s="34"/>
      <c r="F96" s="34"/>
      <c r="G96" s="34">
        <v>400</v>
      </c>
      <c r="H96" s="34"/>
      <c r="I96" s="34"/>
      <c r="J96" s="34"/>
      <c r="K96" s="34"/>
      <c r="L96" s="34"/>
      <c r="M96" s="34"/>
      <c r="N96" s="34"/>
      <c r="O96" s="34" cm="1">
        <f t="array" ref="O96">G96</f>
        <v>400</v>
      </c>
      <c r="P96" s="34"/>
      <c r="Q96" s="34"/>
      <c r="R96" s="34"/>
      <c r="S96" s="35"/>
      <c r="T96" s="35"/>
      <c r="U96" s="35"/>
      <c r="V96" s="126"/>
      <c r="W96" s="127"/>
      <c r="X96" s="128"/>
      <c r="Y96" s="7"/>
    </row>
    <row r="97" ht="13.55" customHeight="1">
      <c r="A97" s="79"/>
      <c r="B97" s="101">
        <v>45747</v>
      </c>
      <c r="C97" t="s" s="80">
        <v>99</v>
      </c>
      <c r="D97" t="s" s="80">
        <v>244</v>
      </c>
      <c r="E97" s="34"/>
      <c r="F97" s="34"/>
      <c r="G97" s="34">
        <v>64</v>
      </c>
      <c r="H97" s="34"/>
      <c r="I97" s="34"/>
      <c r="J97" s="34"/>
      <c r="K97" s="34"/>
      <c r="L97" s="34"/>
      <c r="M97" s="34"/>
      <c r="N97" s="34"/>
      <c r="O97" s="34"/>
      <c r="P97" s="34" cm="1">
        <f t="array" ref="P97">G97</f>
        <v>64</v>
      </c>
      <c r="Q97" s="34"/>
      <c r="R97" s="34"/>
      <c r="S97" s="35"/>
      <c r="T97" s="35"/>
      <c r="U97" s="35"/>
      <c r="V97" s="126"/>
      <c r="W97" s="127"/>
      <c r="X97" s="128"/>
      <c r="Y97" s="7"/>
    </row>
    <row r="98" ht="13.55" customHeight="1">
      <c r="A98" s="79"/>
      <c r="B98" s="101"/>
      <c r="C98" s="35"/>
      <c r="D98" s="35"/>
      <c r="E98" s="34"/>
      <c r="F98" s="34"/>
      <c r="G98" s="34" cm="1">
        <f t="array" ref="G98">SUM(G62:G97)</f>
        <v>246280.15</v>
      </c>
      <c r="H98" s="99" cm="1">
        <f t="array" ref="H98">SUM(H62:H97)</f>
        <v>0</v>
      </c>
      <c r="I98" s="99" cm="1">
        <f t="array" ref="I98">SUM(I62:I97)</f>
        <v>4640</v>
      </c>
      <c r="J98" s="99" cm="1">
        <f t="array" ref="J98">SUM(J62:J97)</f>
        <v>0</v>
      </c>
      <c r="K98" s="99" cm="1">
        <f t="array" ref="K98">SUM(K62:K97)</f>
        <v>13272.32</v>
      </c>
      <c r="L98" s="99" cm="1">
        <f t="array" ref="L98">SUM(L62:L97)</f>
        <v>4770</v>
      </c>
      <c r="M98" s="99" cm="1">
        <f t="array" ref="M98">SUM(M62:M97)</f>
        <v>27975.21</v>
      </c>
      <c r="N98" s="99" cm="1">
        <f t="array" ref="N98">SUM(N62:N97)</f>
        <v>94000</v>
      </c>
      <c r="O98" s="99" cm="1">
        <f t="array" ref="O98">SUM(O62:O97)</f>
        <v>4372.33</v>
      </c>
      <c r="P98" s="99" cm="1">
        <f t="array" ref="P98">SUM(P62:P97)</f>
        <v>606.75</v>
      </c>
      <c r="Q98" s="99" cm="1">
        <f t="array" ref="Q98">SUM(Q62:Q97)</f>
        <v>2683.54</v>
      </c>
      <c r="R98" s="99" cm="1">
        <f t="array" ref="R98">SUM(R62:R97)</f>
        <v>93960</v>
      </c>
      <c r="S98" s="99" cm="1">
        <f t="array" ref="S98">SUM(S62:S97)</f>
        <v>0</v>
      </c>
      <c r="T98" s="99" cm="1">
        <f t="array" ref="T98">SUM(T62:T97)</f>
        <v>0</v>
      </c>
      <c r="U98" s="99" cm="1">
        <f t="array" ref="U98">SUM(U62:U97)</f>
        <v>0</v>
      </c>
      <c r="V98" s="99" cm="1">
        <f t="array" ref="V98">SUM(V62:V97)</f>
        <v>0</v>
      </c>
      <c r="W98" s="99" cm="1">
        <f t="array" ref="W98">SUM(W62:W97)</f>
        <v>0</v>
      </c>
      <c r="X98" s="135" cm="1">
        <f t="array" ref="X98">W98+V98+U98+T98+S98+R98+Q98+P98+O98+N98+M98+L98+K98+J98+I98+H98</f>
        <v>246280.15</v>
      </c>
      <c r="Y98" s="7"/>
    </row>
    <row r="99" ht="13.55" customHeight="1">
      <c r="A99" s="79"/>
      <c r="B99" s="101"/>
      <c r="C99" s="35"/>
      <c r="D99" s="35"/>
      <c r="E99" s="34"/>
      <c r="F99" s="34"/>
      <c r="G99" s="34"/>
      <c r="H99" s="34"/>
      <c r="I99" s="34"/>
      <c r="J99" s="34"/>
      <c r="K99" s="34"/>
      <c r="L99" s="34"/>
      <c r="M99" s="34"/>
      <c r="N99" s="34"/>
      <c r="O99" s="34"/>
      <c r="P99" s="34"/>
      <c r="Q99" s="34"/>
      <c r="R99" s="34"/>
      <c r="S99" s="35"/>
      <c r="T99" s="35"/>
      <c r="U99" s="35"/>
      <c r="V99" s="126"/>
      <c r="W99" s="127"/>
      <c r="X99" s="128"/>
      <c r="Y99" s="7"/>
    </row>
    <row r="100" ht="18" customHeight="1">
      <c r="A100" s="79"/>
      <c r="B100" t="s" s="125">
        <v>77</v>
      </c>
      <c r="C100" s="87"/>
      <c r="D100" s="88"/>
      <c r="E100" s="113"/>
      <c r="F100" s="113"/>
      <c r="G100" s="34"/>
      <c r="H100" s="34"/>
      <c r="I100" s="34"/>
      <c r="J100" s="34"/>
      <c r="K100" s="34"/>
      <c r="L100" s="34"/>
      <c r="M100" s="34"/>
      <c r="N100" s="34"/>
      <c r="O100" s="34"/>
      <c r="P100" s="34"/>
      <c r="Q100" s="34"/>
      <c r="R100" s="34"/>
      <c r="S100" s="35"/>
      <c r="T100" s="35"/>
      <c r="U100" s="35"/>
      <c r="V100" s="126"/>
      <c r="W100" s="127"/>
      <c r="X100" s="128"/>
      <c r="Y100" s="7"/>
    </row>
    <row r="101" ht="18" customHeight="1">
      <c r="A101" s="79"/>
      <c r="B101" t="s" s="125">
        <v>245</v>
      </c>
      <c r="C101" s="87"/>
      <c r="D101" s="88"/>
      <c r="E101" s="88"/>
      <c r="F101" s="88"/>
      <c r="G101" s="34"/>
      <c r="H101" s="34"/>
      <c r="I101" s="34"/>
      <c r="J101" s="34"/>
      <c r="K101" s="34"/>
      <c r="L101" s="34"/>
      <c r="M101" s="34"/>
      <c r="N101" s="34"/>
      <c r="O101" s="34"/>
      <c r="P101" s="34"/>
      <c r="Q101" s="34"/>
      <c r="R101" s="34"/>
      <c r="S101" s="35"/>
      <c r="T101" s="35"/>
      <c r="U101" s="35"/>
      <c r="V101" s="126"/>
      <c r="W101" s="127"/>
      <c r="X101" s="128"/>
      <c r="Y101" s="7"/>
    </row>
    <row r="102" ht="16.5" customHeight="1">
      <c r="A102" s="79"/>
      <c r="B102" s="131"/>
      <c r="C102" s="89"/>
      <c r="D102" t="s" s="90">
        <v>78</v>
      </c>
      <c r="E102" t="s" s="90">
        <v>8</v>
      </c>
      <c r="F102" t="s" s="90">
        <v>8</v>
      </c>
      <c r="G102" t="s" s="90">
        <v>8</v>
      </c>
      <c r="H102" s="34"/>
      <c r="I102" s="34"/>
      <c r="J102" s="34"/>
      <c r="K102" s="34"/>
      <c r="L102" s="34"/>
      <c r="M102" s="34"/>
      <c r="N102" s="34"/>
      <c r="O102" s="34"/>
      <c r="P102" s="34"/>
      <c r="Q102" s="34"/>
      <c r="R102" s="34"/>
      <c r="S102" s="35"/>
      <c r="T102" s="35"/>
      <c r="U102" s="35"/>
      <c r="V102" s="126"/>
      <c r="W102" s="127"/>
      <c r="X102" s="128"/>
      <c r="Y102" s="7"/>
    </row>
    <row r="103" ht="16.5" customHeight="1">
      <c r="A103" s="79"/>
      <c r="B103" t="s" s="132">
        <v>79</v>
      </c>
      <c r="C103" t="s" s="90">
        <v>54</v>
      </c>
      <c r="D103" s="114">
        <v>12061001385</v>
      </c>
      <c r="E103" t="s" s="90">
        <v>8</v>
      </c>
      <c r="F103" t="s" s="90">
        <v>8</v>
      </c>
      <c r="G103" t="s" s="90">
        <v>52</v>
      </c>
      <c r="H103" s="34"/>
      <c r="I103" s="34"/>
      <c r="J103" s="34"/>
      <c r="K103" s="34"/>
      <c r="L103" s="34"/>
      <c r="M103" s="34"/>
      <c r="N103" s="34"/>
      <c r="O103" s="34"/>
      <c r="P103" s="34"/>
      <c r="Q103" s="34"/>
      <c r="R103" s="34"/>
      <c r="S103" s="35"/>
      <c r="T103" s="35"/>
      <c r="U103" s="35"/>
      <c r="V103" s="126"/>
      <c r="W103" s="127"/>
      <c r="X103" s="128"/>
      <c r="Y103" s="7"/>
    </row>
    <row r="104" ht="16.5" customHeight="1">
      <c r="A104" s="79"/>
      <c r="B104" t="s" s="132">
        <v>8</v>
      </c>
      <c r="C104" t="s" s="94">
        <v>58</v>
      </c>
      <c r="D104" t="s" s="95">
        <v>8</v>
      </c>
      <c r="E104" s="89"/>
      <c r="F104" s="89"/>
      <c r="G104" s="89"/>
      <c r="H104" s="34"/>
      <c r="I104" s="34"/>
      <c r="J104" s="34"/>
      <c r="K104" s="34"/>
      <c r="L104" s="34"/>
      <c r="M104" s="34"/>
      <c r="N104" s="34"/>
      <c r="O104" s="34"/>
      <c r="P104" s="34"/>
      <c r="Q104" s="34"/>
      <c r="R104" s="34"/>
      <c r="S104" s="35"/>
      <c r="T104" s="35"/>
      <c r="U104" s="35"/>
      <c r="V104" s="126"/>
      <c r="W104" s="127"/>
      <c r="X104" s="128"/>
      <c r="Y104" s="7"/>
    </row>
    <row r="105" ht="13.55" customHeight="1">
      <c r="A105" s="79"/>
      <c r="B105" s="35"/>
      <c r="C105" s="35"/>
      <c r="D105" s="35"/>
      <c r="E105" s="35"/>
      <c r="F105" s="35"/>
      <c r="G105" s="35"/>
      <c r="H105" s="34"/>
      <c r="I105" s="34"/>
      <c r="J105" s="34"/>
      <c r="K105" s="34"/>
      <c r="L105" s="34"/>
      <c r="M105" s="34"/>
      <c r="N105" s="34"/>
      <c r="O105" s="34"/>
      <c r="P105" s="34"/>
      <c r="Q105" s="34"/>
      <c r="R105" s="34"/>
      <c r="S105" s="35"/>
      <c r="T105" s="35"/>
      <c r="U105" s="35"/>
      <c r="V105" s="126"/>
      <c r="W105" s="127"/>
      <c r="X105" s="128"/>
      <c r="Y105" s="7"/>
    </row>
    <row r="106" ht="13.55" customHeight="1">
      <c r="A106" s="79"/>
      <c r="B106" s="101">
        <v>45754</v>
      </c>
      <c r="C106" t="s" s="80">
        <v>222</v>
      </c>
      <c r="D106" t="s" s="80">
        <v>204</v>
      </c>
      <c r="E106" s="34"/>
      <c r="F106" s="34"/>
      <c r="G106" s="34">
        <v>100000</v>
      </c>
      <c r="H106" s="34"/>
      <c r="I106" s="34"/>
      <c r="J106" s="34"/>
      <c r="K106" s="34"/>
      <c r="L106" s="34"/>
      <c r="M106" s="34"/>
      <c r="N106" s="34" cm="1">
        <f t="array" ref="N106">G106</f>
        <v>100000</v>
      </c>
      <c r="O106" s="34"/>
      <c r="P106" s="34"/>
      <c r="Q106" s="34"/>
      <c r="R106" s="34"/>
      <c r="S106" s="35"/>
      <c r="T106" s="35"/>
      <c r="U106" s="35"/>
      <c r="V106" s="126"/>
      <c r="W106" s="127"/>
      <c r="X106" s="128"/>
      <c r="Y106" s="7"/>
    </row>
    <row r="107" ht="13.55" customHeight="1">
      <c r="A107" s="79"/>
      <c r="B107" s="101">
        <v>45754</v>
      </c>
      <c r="C107" t="s" s="80">
        <v>246</v>
      </c>
      <c r="D107" t="s" s="80">
        <v>204</v>
      </c>
      <c r="E107" s="34"/>
      <c r="F107" s="34"/>
      <c r="G107" s="34">
        <v>47850</v>
      </c>
      <c r="H107" s="34"/>
      <c r="I107" s="34"/>
      <c r="J107" s="34"/>
      <c r="K107" s="34"/>
      <c r="L107" s="34"/>
      <c r="M107" s="34"/>
      <c r="N107" s="34" cm="1">
        <f t="array" ref="N107">G107</f>
        <v>47850</v>
      </c>
      <c r="O107" s="34"/>
      <c r="P107" s="34"/>
      <c r="Q107" s="34"/>
      <c r="R107" s="34"/>
      <c r="S107" s="35"/>
      <c r="T107" s="35"/>
      <c r="U107" s="35"/>
      <c r="V107" s="126"/>
      <c r="W107" s="127"/>
      <c r="X107" s="128"/>
      <c r="Y107" s="7"/>
    </row>
    <row r="108" ht="13.55" customHeight="1">
      <c r="A108" s="79"/>
      <c r="B108" s="101">
        <v>45754</v>
      </c>
      <c r="C108" t="s" s="80">
        <v>247</v>
      </c>
      <c r="D108" t="s" s="80">
        <v>248</v>
      </c>
      <c r="E108" s="34"/>
      <c r="F108" s="34"/>
      <c r="G108" s="34">
        <v>27448.2</v>
      </c>
      <c r="H108" s="34"/>
      <c r="I108" s="34"/>
      <c r="J108" s="34"/>
      <c r="K108" s="34"/>
      <c r="L108" s="34"/>
      <c r="M108" s="34"/>
      <c r="N108" s="34"/>
      <c r="O108" s="34"/>
      <c r="P108" s="34"/>
      <c r="Q108" s="34"/>
      <c r="R108" s="34"/>
      <c r="S108" s="34" cm="1">
        <f t="array" ref="S108">G108</f>
        <v>27448.2</v>
      </c>
      <c r="T108" s="35"/>
      <c r="U108" s="35"/>
      <c r="V108" s="126"/>
      <c r="W108" s="127"/>
      <c r="X108" s="128"/>
      <c r="Y108" s="7"/>
    </row>
    <row r="109" ht="13.55" customHeight="1">
      <c r="A109" s="79"/>
      <c r="B109" s="101">
        <v>45755</v>
      </c>
      <c r="C109" t="s" s="80">
        <v>223</v>
      </c>
      <c r="D109" t="s" s="80">
        <v>224</v>
      </c>
      <c r="E109" s="34"/>
      <c r="F109" s="34"/>
      <c r="G109" s="34">
        <v>120000</v>
      </c>
      <c r="H109" s="34"/>
      <c r="I109" s="34"/>
      <c r="J109" s="34"/>
      <c r="K109" s="34"/>
      <c r="L109" s="34"/>
      <c r="M109" s="34"/>
      <c r="N109" s="34"/>
      <c r="O109" s="34"/>
      <c r="P109" s="34"/>
      <c r="Q109" s="34"/>
      <c r="R109" s="34" cm="1">
        <f t="array" ref="R109">G109</f>
        <v>120000</v>
      </c>
      <c r="S109" s="35"/>
      <c r="T109" s="35"/>
      <c r="U109" s="35"/>
      <c r="V109" s="126"/>
      <c r="W109" s="127"/>
      <c r="X109" s="128"/>
      <c r="Y109" s="7"/>
    </row>
    <row r="110" ht="13.55" customHeight="1">
      <c r="A110" s="79"/>
      <c r="B110" s="101">
        <v>45756</v>
      </c>
      <c r="C110" t="s" s="80">
        <v>247</v>
      </c>
      <c r="D110" t="s" s="80">
        <v>249</v>
      </c>
      <c r="E110" s="34"/>
      <c r="F110" s="34"/>
      <c r="G110" s="34">
        <v>27448.2</v>
      </c>
      <c r="H110" s="34"/>
      <c r="I110" s="34"/>
      <c r="J110" s="34"/>
      <c r="K110" s="34"/>
      <c r="L110" s="34"/>
      <c r="M110" s="34"/>
      <c r="N110" s="34"/>
      <c r="O110" s="34"/>
      <c r="P110" s="34"/>
      <c r="Q110" s="34"/>
      <c r="R110" s="34"/>
      <c r="S110" s="34" cm="1">
        <f t="array" ref="S110">G110</f>
        <v>27448.2</v>
      </c>
      <c r="T110" s="35"/>
      <c r="U110" s="35"/>
      <c r="V110" s="126"/>
      <c r="W110" s="127"/>
      <c r="X110" s="128"/>
      <c r="Y110" s="7"/>
    </row>
    <row r="111" ht="13.55" customHeight="1">
      <c r="A111" s="79"/>
      <c r="B111" s="101">
        <v>45756</v>
      </c>
      <c r="C111" t="s" s="80">
        <v>197</v>
      </c>
      <c r="D111" t="s" s="80">
        <v>250</v>
      </c>
      <c r="E111" s="34"/>
      <c r="F111" s="34"/>
      <c r="G111" s="34">
        <v>14002.08</v>
      </c>
      <c r="H111" s="34"/>
      <c r="I111" s="34"/>
      <c r="J111" s="34"/>
      <c r="K111" s="34"/>
      <c r="L111" s="34"/>
      <c r="M111" s="34" cm="1">
        <f t="array" ref="M111">G111</f>
        <v>14002.08</v>
      </c>
      <c r="N111" s="34"/>
      <c r="O111" s="34"/>
      <c r="P111" s="34"/>
      <c r="Q111" s="34"/>
      <c r="R111" s="34"/>
      <c r="S111" s="35"/>
      <c r="T111" s="35"/>
      <c r="U111" s="35"/>
      <c r="V111" s="126"/>
      <c r="W111" s="127"/>
      <c r="X111" s="128"/>
      <c r="Y111" s="7"/>
    </row>
    <row r="112" ht="13.55" customHeight="1">
      <c r="A112" s="79"/>
      <c r="B112" s="101">
        <v>45761</v>
      </c>
      <c r="C112" t="s" s="80">
        <v>99</v>
      </c>
      <c r="D112" t="s" s="80">
        <v>234</v>
      </c>
      <c r="E112" s="34"/>
      <c r="F112" s="34"/>
      <c r="G112" s="34">
        <v>10</v>
      </c>
      <c r="H112" s="34"/>
      <c r="I112" s="34"/>
      <c r="J112" s="34"/>
      <c r="K112" s="34"/>
      <c r="L112" s="34"/>
      <c r="M112" s="34"/>
      <c r="N112" s="34"/>
      <c r="O112" s="34">
        <v>10</v>
      </c>
      <c r="P112" s="34"/>
      <c r="Q112" s="34"/>
      <c r="R112" s="34"/>
      <c r="S112" s="35"/>
      <c r="T112" s="35"/>
      <c r="U112" s="35"/>
      <c r="V112" s="126"/>
      <c r="W112" s="127"/>
      <c r="X112" s="128"/>
      <c r="Y112" s="7"/>
    </row>
    <row r="113" ht="13.55" customHeight="1">
      <c r="A113" s="79"/>
      <c r="B113" s="101">
        <v>45761</v>
      </c>
      <c r="C113" t="s" s="80">
        <v>99</v>
      </c>
      <c r="D113" t="s" s="80">
        <v>251</v>
      </c>
      <c r="E113" s="34"/>
      <c r="F113" s="34"/>
      <c r="G113" s="34">
        <v>1.6</v>
      </c>
      <c r="H113" s="34"/>
      <c r="I113" s="34"/>
      <c r="J113" s="34"/>
      <c r="K113" s="34"/>
      <c r="L113" s="34"/>
      <c r="M113" s="34"/>
      <c r="N113" s="34"/>
      <c r="O113" s="34"/>
      <c r="P113" s="34">
        <v>1.6</v>
      </c>
      <c r="Q113" t="s" s="80">
        <v>8</v>
      </c>
      <c r="R113" s="34"/>
      <c r="S113" s="35"/>
      <c r="T113" s="35"/>
      <c r="U113" s="35"/>
      <c r="V113" s="126"/>
      <c r="W113" s="127"/>
      <c r="X113" s="128"/>
      <c r="Y113" s="7"/>
    </row>
    <row r="114" ht="13.55" customHeight="1">
      <c r="A114" s="79"/>
      <c r="B114" s="101">
        <v>45763</v>
      </c>
      <c r="C114" t="s" s="80">
        <v>99</v>
      </c>
      <c r="D114" t="s" s="80">
        <v>235</v>
      </c>
      <c r="E114" s="34"/>
      <c r="F114" s="34"/>
      <c r="G114" s="34">
        <v>101.72</v>
      </c>
      <c r="H114" s="34"/>
      <c r="I114" s="34"/>
      <c r="J114" s="34"/>
      <c r="K114" s="34"/>
      <c r="L114" s="34"/>
      <c r="M114" s="34"/>
      <c r="N114" s="34"/>
      <c r="O114" s="34">
        <v>101.72</v>
      </c>
      <c r="P114" s="34"/>
      <c r="Q114" t="s" s="80">
        <v>8</v>
      </c>
      <c r="R114" s="34"/>
      <c r="S114" s="35"/>
      <c r="T114" s="35"/>
      <c r="U114" s="35"/>
      <c r="V114" s="126"/>
      <c r="W114" s="127"/>
      <c r="X114" s="128"/>
      <c r="Y114" s="7"/>
    </row>
    <row r="115" ht="13.55" customHeight="1">
      <c r="A115" s="79"/>
      <c r="B115" s="101">
        <v>45763</v>
      </c>
      <c r="C115" t="s" s="80">
        <v>99</v>
      </c>
      <c r="D115" t="s" s="80">
        <v>236</v>
      </c>
      <c r="E115" s="34"/>
      <c r="F115" s="34"/>
      <c r="G115" s="34">
        <v>635.73</v>
      </c>
      <c r="H115" s="34"/>
      <c r="I115" s="34"/>
      <c r="J115" s="34"/>
      <c r="K115" s="34"/>
      <c r="L115" s="34"/>
      <c r="M115" s="34"/>
      <c r="N115" s="34"/>
      <c r="O115" s="34"/>
      <c r="P115" s="34">
        <v>635.73</v>
      </c>
      <c r="Q115" t="s" s="80">
        <v>8</v>
      </c>
      <c r="R115" s="34"/>
      <c r="S115" s="35"/>
      <c r="T115" s="35"/>
      <c r="U115" s="35"/>
      <c r="V115" s="126"/>
      <c r="W115" s="127"/>
      <c r="X115" s="128"/>
      <c r="Y115" s="7"/>
    </row>
    <row r="116" ht="13.55" customHeight="1">
      <c r="A116" s="79"/>
      <c r="B116" s="101">
        <v>45763</v>
      </c>
      <c r="C116" t="s" s="80">
        <v>99</v>
      </c>
      <c r="D116" t="s" s="80">
        <v>235</v>
      </c>
      <c r="E116" s="34"/>
      <c r="F116" s="34"/>
      <c r="G116" s="34">
        <v>936</v>
      </c>
      <c r="H116" s="34"/>
      <c r="I116" s="34"/>
      <c r="J116" s="34"/>
      <c r="K116" s="34"/>
      <c r="L116" s="34"/>
      <c r="M116" s="34"/>
      <c r="N116" s="34"/>
      <c r="O116" s="34">
        <v>936</v>
      </c>
      <c r="P116" s="34"/>
      <c r="Q116" t="s" s="80">
        <v>8</v>
      </c>
      <c r="R116" s="34"/>
      <c r="S116" s="35"/>
      <c r="T116" s="35"/>
      <c r="U116" s="35"/>
      <c r="V116" s="126"/>
      <c r="W116" s="127"/>
      <c r="X116" s="128"/>
      <c r="Y116" s="7"/>
    </row>
    <row r="117" ht="13.55" customHeight="1">
      <c r="A117" s="79"/>
      <c r="B117" s="101">
        <v>45763</v>
      </c>
      <c r="C117" t="s" s="80">
        <v>99</v>
      </c>
      <c r="D117" t="s" s="80">
        <v>236</v>
      </c>
      <c r="E117" s="34"/>
      <c r="F117" s="34"/>
      <c r="G117" s="34">
        <v>149.76</v>
      </c>
      <c r="H117" s="34"/>
      <c r="I117" s="34"/>
      <c r="J117" s="34"/>
      <c r="K117" s="34"/>
      <c r="L117" s="34"/>
      <c r="M117" s="34"/>
      <c r="N117" s="34"/>
      <c r="O117" s="34"/>
      <c r="P117" s="34">
        <v>149.76</v>
      </c>
      <c r="Q117" t="s" s="80">
        <v>8</v>
      </c>
      <c r="R117" s="34"/>
      <c r="S117" s="35"/>
      <c r="T117" s="35"/>
      <c r="U117" s="35"/>
      <c r="V117" s="126"/>
      <c r="W117" s="127"/>
      <c r="X117" s="128"/>
      <c r="Y117" s="7"/>
    </row>
    <row r="118" ht="13.55" customHeight="1">
      <c r="A118" s="79"/>
      <c r="B118" s="101">
        <v>45763</v>
      </c>
      <c r="C118" t="s" s="80">
        <v>99</v>
      </c>
      <c r="D118" t="s" s="80">
        <v>237</v>
      </c>
      <c r="E118" s="34"/>
      <c r="F118" s="34"/>
      <c r="G118" s="34">
        <v>148.2</v>
      </c>
      <c r="H118" s="34"/>
      <c r="I118" s="34"/>
      <c r="J118" s="34"/>
      <c r="K118" s="34"/>
      <c r="L118" s="34"/>
      <c r="M118" s="34"/>
      <c r="N118" s="34"/>
      <c r="O118" s="34">
        <v>148.2</v>
      </c>
      <c r="P118" s="34"/>
      <c r="Q118" t="s" s="80">
        <v>8</v>
      </c>
      <c r="R118" s="34"/>
      <c r="S118" s="35"/>
      <c r="T118" s="35"/>
      <c r="U118" s="35"/>
      <c r="V118" s="126"/>
      <c r="W118" s="127"/>
      <c r="X118" s="128"/>
      <c r="Y118" s="7"/>
    </row>
    <row r="119" ht="13.55" customHeight="1">
      <c r="A119" s="79"/>
      <c r="B119" s="101">
        <v>45763</v>
      </c>
      <c r="C119" t="s" s="80">
        <v>99</v>
      </c>
      <c r="D119" t="s" s="80">
        <v>236</v>
      </c>
      <c r="E119" s="34"/>
      <c r="F119" s="34"/>
      <c r="G119" s="34">
        <v>23.7</v>
      </c>
      <c r="H119" s="34"/>
      <c r="I119" s="34"/>
      <c r="J119" s="34"/>
      <c r="K119" s="34"/>
      <c r="L119" s="34"/>
      <c r="M119" s="34"/>
      <c r="N119" s="34"/>
      <c r="O119" s="34"/>
      <c r="P119" s="34">
        <v>23.7</v>
      </c>
      <c r="Q119" t="s" s="80">
        <v>8</v>
      </c>
      <c r="R119" s="34"/>
      <c r="S119" s="35"/>
      <c r="T119" s="35"/>
      <c r="U119" s="35"/>
      <c r="V119" s="126"/>
      <c r="W119" s="127"/>
      <c r="X119" s="128"/>
      <c r="Y119" s="7"/>
    </row>
    <row r="120" ht="13.55" customHeight="1">
      <c r="A120" s="79"/>
      <c r="B120" s="101">
        <v>45768</v>
      </c>
      <c r="C120" t="s" s="80">
        <v>99</v>
      </c>
      <c r="D120" t="s" s="80">
        <v>235</v>
      </c>
      <c r="E120" s="34"/>
      <c r="F120" s="34"/>
      <c r="G120" s="34">
        <v>14.75</v>
      </c>
      <c r="H120" s="34"/>
      <c r="I120" s="34"/>
      <c r="J120" s="34"/>
      <c r="K120" s="34"/>
      <c r="L120" s="34"/>
      <c r="M120" s="34"/>
      <c r="N120" s="34"/>
      <c r="O120" s="34">
        <v>14.75</v>
      </c>
      <c r="P120" s="34"/>
      <c r="Q120" t="s" s="80">
        <v>8</v>
      </c>
      <c r="R120" s="34"/>
      <c r="S120" s="35"/>
      <c r="T120" s="35"/>
      <c r="U120" s="35"/>
      <c r="V120" s="126"/>
      <c r="W120" s="127"/>
      <c r="X120" s="128"/>
      <c r="Y120" s="7"/>
    </row>
    <row r="121" ht="13.55" customHeight="1">
      <c r="A121" s="79"/>
      <c r="B121" s="101">
        <v>45768</v>
      </c>
      <c r="C121" t="s" s="80">
        <v>99</v>
      </c>
      <c r="D121" t="s" s="80">
        <v>236</v>
      </c>
      <c r="E121" s="34"/>
      <c r="F121" s="34"/>
      <c r="G121" s="34">
        <v>2.36</v>
      </c>
      <c r="H121" s="34"/>
      <c r="I121" s="34"/>
      <c r="J121" s="34"/>
      <c r="K121" s="34"/>
      <c r="L121" s="34"/>
      <c r="M121" s="34"/>
      <c r="N121" s="34"/>
      <c r="O121" s="34"/>
      <c r="P121" s="34">
        <v>2.36</v>
      </c>
      <c r="Q121" t="s" s="80">
        <v>8</v>
      </c>
      <c r="R121" s="34"/>
      <c r="S121" s="35"/>
      <c r="T121" s="35"/>
      <c r="U121" s="35"/>
      <c r="V121" s="126"/>
      <c r="W121" s="127"/>
      <c r="X121" s="128"/>
      <c r="Y121" s="7"/>
    </row>
    <row r="122" ht="13.55" customHeight="1">
      <c r="A122" s="79"/>
      <c r="B122" s="101">
        <v>45771</v>
      </c>
      <c r="C122" t="s" s="80">
        <v>252</v>
      </c>
      <c r="D122" t="s" s="80">
        <v>253</v>
      </c>
      <c r="E122" s="34"/>
      <c r="F122" s="34"/>
      <c r="G122" s="34">
        <v>870</v>
      </c>
      <c r="H122" s="34"/>
      <c r="I122" s="34"/>
      <c r="J122" s="34"/>
      <c r="K122" s="34"/>
      <c r="L122" s="34"/>
      <c r="M122" s="34"/>
      <c r="N122" s="34"/>
      <c r="O122" s="34">
        <v>870</v>
      </c>
      <c r="P122" s="34"/>
      <c r="Q122" t="s" s="80">
        <v>8</v>
      </c>
      <c r="R122" s="34"/>
      <c r="S122" s="35"/>
      <c r="T122" s="35"/>
      <c r="U122" s="35"/>
      <c r="V122" s="126"/>
      <c r="W122" s="127"/>
      <c r="X122" s="128"/>
      <c r="Y122" s="7"/>
    </row>
    <row r="123" ht="13.55" customHeight="1">
      <c r="A123" s="79"/>
      <c r="B123" s="101">
        <v>45776</v>
      </c>
      <c r="C123" t="s" s="80">
        <v>197</v>
      </c>
      <c r="D123" t="s" s="80">
        <v>254</v>
      </c>
      <c r="E123" s="34"/>
      <c r="F123" s="34"/>
      <c r="G123" s="34">
        <v>14002.08</v>
      </c>
      <c r="H123" s="34"/>
      <c r="I123" s="34"/>
      <c r="J123" s="34"/>
      <c r="K123" s="34"/>
      <c r="L123" s="34"/>
      <c r="M123" s="34" cm="1">
        <f t="array" ref="M123">G123</f>
        <v>14002.08</v>
      </c>
      <c r="N123" s="34"/>
      <c r="O123" s="34"/>
      <c r="P123" s="34"/>
      <c r="Q123" t="s" s="80">
        <v>8</v>
      </c>
      <c r="R123" s="34"/>
      <c r="S123" s="35"/>
      <c r="T123" s="35"/>
      <c r="U123" s="35"/>
      <c r="V123" s="126"/>
      <c r="W123" s="127"/>
      <c r="X123" s="128"/>
      <c r="Y123" s="7"/>
    </row>
    <row r="124" ht="13.55" customHeight="1">
      <c r="A124" s="79"/>
      <c r="B124" s="101">
        <v>45776</v>
      </c>
      <c r="C124" t="s" s="80">
        <v>99</v>
      </c>
      <c r="D124" t="s" s="80">
        <v>234</v>
      </c>
      <c r="E124" s="34"/>
      <c r="F124" s="34"/>
      <c r="G124" s="34">
        <v>10</v>
      </c>
      <c r="H124" s="34"/>
      <c r="I124" s="34"/>
      <c r="J124" s="34"/>
      <c r="K124" s="34"/>
      <c r="L124" s="34"/>
      <c r="M124" s="34"/>
      <c r="N124" s="34"/>
      <c r="O124" s="34">
        <v>10</v>
      </c>
      <c r="P124" s="34"/>
      <c r="Q124" t="s" s="80">
        <v>8</v>
      </c>
      <c r="R124" s="34"/>
      <c r="S124" s="35"/>
      <c r="T124" s="35"/>
      <c r="U124" s="35"/>
      <c r="V124" s="126"/>
      <c r="W124" s="127"/>
      <c r="X124" s="128"/>
      <c r="Y124" s="7"/>
    </row>
    <row r="125" ht="13.55" customHeight="1">
      <c r="A125" s="79"/>
      <c r="B125" s="101">
        <v>45776</v>
      </c>
      <c r="C125" t="s" s="80">
        <v>99</v>
      </c>
      <c r="D125" t="s" s="80">
        <v>255</v>
      </c>
      <c r="E125" s="34"/>
      <c r="F125" s="34"/>
      <c r="G125" s="34">
        <v>1.6</v>
      </c>
      <c r="H125" s="34"/>
      <c r="I125" s="34"/>
      <c r="J125" s="34"/>
      <c r="K125" s="34"/>
      <c r="L125" s="34"/>
      <c r="M125" s="34"/>
      <c r="N125" s="34"/>
      <c r="O125" s="34"/>
      <c r="P125" s="34">
        <v>1.6</v>
      </c>
      <c r="Q125" t="s" s="80">
        <v>8</v>
      </c>
      <c r="R125" s="34"/>
      <c r="S125" s="35"/>
      <c r="T125" s="35"/>
      <c r="U125" s="35"/>
      <c r="V125" s="126"/>
      <c r="W125" s="127"/>
      <c r="X125" s="128"/>
      <c r="Y125" s="7"/>
    </row>
    <row r="126" ht="13.55" customHeight="1">
      <c r="A126" s="79"/>
      <c r="B126" s="101">
        <v>45777</v>
      </c>
      <c r="C126" t="s" s="80">
        <v>99</v>
      </c>
      <c r="D126" t="s" s="80">
        <v>256</v>
      </c>
      <c r="E126" s="34"/>
      <c r="F126" s="34"/>
      <c r="G126" s="34">
        <v>400</v>
      </c>
      <c r="H126" s="34"/>
      <c r="I126" s="34"/>
      <c r="J126" s="34"/>
      <c r="K126" s="34"/>
      <c r="L126" s="34"/>
      <c r="M126" s="34"/>
      <c r="N126" s="34"/>
      <c r="O126" s="34">
        <v>400</v>
      </c>
      <c r="P126" s="34"/>
      <c r="Q126" t="s" s="80">
        <v>8</v>
      </c>
      <c r="R126" s="34"/>
      <c r="S126" s="35"/>
      <c r="T126" s="35"/>
      <c r="U126" s="35"/>
      <c r="V126" s="126"/>
      <c r="W126" s="127"/>
      <c r="X126" s="128"/>
      <c r="Y126" s="7"/>
    </row>
    <row r="127" ht="13.55" customHeight="1">
      <c r="A127" s="79"/>
      <c r="B127" s="101">
        <v>45777</v>
      </c>
      <c r="C127" t="s" s="80">
        <v>257</v>
      </c>
      <c r="D127" t="s" s="80">
        <v>258</v>
      </c>
      <c r="E127" s="34"/>
      <c r="F127" s="34"/>
      <c r="G127" s="34">
        <v>64</v>
      </c>
      <c r="H127" s="34"/>
      <c r="I127" s="34"/>
      <c r="J127" s="34"/>
      <c r="K127" s="34"/>
      <c r="L127" s="34"/>
      <c r="M127" s="34"/>
      <c r="N127" s="34"/>
      <c r="O127" s="34"/>
      <c r="P127" s="34">
        <v>64</v>
      </c>
      <c r="Q127" t="s" s="80">
        <v>8</v>
      </c>
      <c r="R127" s="34"/>
      <c r="S127" s="35"/>
      <c r="T127" s="35"/>
      <c r="U127" s="35"/>
      <c r="V127" s="126"/>
      <c r="W127" s="127"/>
      <c r="X127" s="128"/>
      <c r="Y127" s="7"/>
    </row>
    <row r="128" ht="13.55" customHeight="1">
      <c r="A128" s="79"/>
      <c r="B128" s="35"/>
      <c r="C128" s="35"/>
      <c r="D128" s="35"/>
      <c r="E128" s="34"/>
      <c r="F128" s="34"/>
      <c r="G128" s="34">
        <v>0</v>
      </c>
      <c r="H128" s="34"/>
      <c r="I128" s="34"/>
      <c r="J128" s="34"/>
      <c r="K128" s="34"/>
      <c r="L128" s="34"/>
      <c r="M128" s="34"/>
      <c r="N128" s="34"/>
      <c r="O128" s="34"/>
      <c r="P128" s="34"/>
      <c r="Q128" s="34"/>
      <c r="R128" s="34"/>
      <c r="S128" s="35"/>
      <c r="T128" s="35"/>
      <c r="U128" s="35"/>
      <c r="V128" s="126"/>
      <c r="W128" s="127"/>
      <c r="X128" s="128"/>
      <c r="Y128" s="7"/>
    </row>
    <row r="129" ht="13.55" customHeight="1">
      <c r="A129" s="79"/>
      <c r="B129" s="35"/>
      <c r="C129" s="35"/>
      <c r="D129" s="35"/>
      <c r="E129" s="34"/>
      <c r="F129" s="34"/>
      <c r="G129" s="34">
        <v>0</v>
      </c>
      <c r="H129" s="34"/>
      <c r="I129" s="34"/>
      <c r="J129" s="34"/>
      <c r="K129" s="34"/>
      <c r="L129" s="34"/>
      <c r="M129" s="34"/>
      <c r="N129" s="34"/>
      <c r="O129" s="34"/>
      <c r="P129" s="34"/>
      <c r="Q129" s="34"/>
      <c r="R129" s="34"/>
      <c r="S129" s="35"/>
      <c r="T129" s="35"/>
      <c r="U129" s="35"/>
      <c r="V129" s="126"/>
      <c r="W129" s="127"/>
      <c r="X129" s="128"/>
      <c r="Y129" s="7"/>
    </row>
    <row r="130" ht="13.55" customHeight="1">
      <c r="A130" s="79"/>
      <c r="B130" s="101"/>
      <c r="C130" s="101"/>
      <c r="D130" t="s" s="80">
        <v>259</v>
      </c>
      <c r="E130" s="35"/>
      <c r="F130" s="35"/>
      <c r="G130" s="34" cm="1">
        <f t="array" ref="G130">SUM(G106:G129)</f>
        <v>354119.98</v>
      </c>
      <c r="H130" s="99" cm="1">
        <f t="array" ref="H130">SUM(H106:H129)</f>
        <v>0</v>
      </c>
      <c r="I130" s="99" cm="1">
        <f t="array" ref="I130">SUM(I106:I129)</f>
        <v>0</v>
      </c>
      <c r="J130" s="99" cm="1">
        <f t="array" ref="J130">SUM(J106:J129)</f>
        <v>0</v>
      </c>
      <c r="K130" s="99" cm="1">
        <f t="array" ref="K130">SUM(K106:K129)</f>
        <v>0</v>
      </c>
      <c r="L130" s="99" cm="1">
        <f t="array" ref="L130">SUM(L106:L129)</f>
        <v>0</v>
      </c>
      <c r="M130" s="99" cm="1">
        <f t="array" ref="M130">SUM(M106:M129)</f>
        <v>28004.16</v>
      </c>
      <c r="N130" s="99" cm="1">
        <f t="array" ref="N130">SUM(N106:N129)</f>
        <v>147850</v>
      </c>
      <c r="O130" s="99" cm="1">
        <f t="array" ref="O130">SUM(O106:O129)</f>
        <v>2490.67</v>
      </c>
      <c r="P130" s="99" cm="1">
        <f t="array" ref="P130">SUM(P106:P129)</f>
        <v>878.75</v>
      </c>
      <c r="Q130" s="99" cm="1">
        <f t="array" ref="Q130">SUM(Q106:Q129)</f>
        <v>0</v>
      </c>
      <c r="R130" s="99" cm="1">
        <f t="array" ref="R130">SUM(R106:R129)</f>
        <v>120000</v>
      </c>
      <c r="S130" s="99" cm="1">
        <f t="array" ref="S130">SUM(S106:S129)</f>
        <v>54896.4</v>
      </c>
      <c r="T130" s="99" cm="1">
        <f t="array" ref="T130">SUM(T106:T129)</f>
        <v>0</v>
      </c>
      <c r="U130" s="99" cm="1">
        <f t="array" ref="U130">SUM(U106:U129)</f>
        <v>0</v>
      </c>
      <c r="V130" s="99" cm="1">
        <f t="array" ref="V130">SUM(V106:V129)</f>
        <v>0</v>
      </c>
      <c r="W130" s="133" cm="1">
        <f t="array" ref="W130">SUM(W106:W129)</f>
        <v>0</v>
      </c>
      <c r="X130" s="134" cm="1">
        <f t="array" ref="X130">H130+I130+J130+K130+L130+M130+N130+O130+P130+Q130+R130+S130+T130+U130+V130+W130</f>
        <v>354119.98</v>
      </c>
      <c r="Y130" s="7"/>
    </row>
    <row r="131" ht="18" customHeight="1">
      <c r="A131" s="79"/>
      <c r="B131" t="s" s="125">
        <v>77</v>
      </c>
      <c r="C131" s="87"/>
      <c r="D131" s="88"/>
      <c r="E131" s="113"/>
      <c r="F131" s="113"/>
      <c r="G131" s="34"/>
      <c r="H131" s="34"/>
      <c r="I131" s="34"/>
      <c r="J131" s="34"/>
      <c r="K131" s="34"/>
      <c r="L131" s="34"/>
      <c r="M131" s="34"/>
      <c r="N131" s="34"/>
      <c r="O131" s="34"/>
      <c r="P131" s="34"/>
      <c r="Q131" s="34"/>
      <c r="R131" s="34"/>
      <c r="S131" s="35"/>
      <c r="T131" s="35"/>
      <c r="U131" s="35"/>
      <c r="V131" s="126"/>
      <c r="W131" s="127"/>
      <c r="X131" s="128"/>
      <c r="Y131" s="7"/>
    </row>
    <row r="132" ht="18" customHeight="1">
      <c r="A132" s="79"/>
      <c r="B132" t="s" s="125">
        <v>129</v>
      </c>
      <c r="C132" s="87"/>
      <c r="D132" s="88"/>
      <c r="E132" s="88"/>
      <c r="F132" s="88"/>
      <c r="G132" s="34"/>
      <c r="H132" s="34"/>
      <c r="I132" s="34"/>
      <c r="J132" s="34"/>
      <c r="K132" s="34"/>
      <c r="L132" s="34"/>
      <c r="M132" s="34"/>
      <c r="N132" s="34"/>
      <c r="O132" s="34"/>
      <c r="P132" s="34"/>
      <c r="Q132" s="34"/>
      <c r="R132" s="34"/>
      <c r="S132" s="35"/>
      <c r="T132" s="35"/>
      <c r="U132" s="35"/>
      <c r="V132" s="126"/>
      <c r="W132" s="127"/>
      <c r="X132" s="128"/>
      <c r="Y132" s="7"/>
    </row>
    <row r="133" ht="16.5" customHeight="1">
      <c r="A133" s="79"/>
      <c r="B133" s="131"/>
      <c r="C133" s="89"/>
      <c r="D133" t="s" s="90">
        <v>78</v>
      </c>
      <c r="E133" t="s" s="90">
        <v>8</v>
      </c>
      <c r="F133" t="s" s="90">
        <v>8</v>
      </c>
      <c r="G133" t="s" s="90">
        <v>8</v>
      </c>
      <c r="H133" s="34"/>
      <c r="I133" s="34"/>
      <c r="J133" s="34"/>
      <c r="K133" s="34"/>
      <c r="L133" s="34"/>
      <c r="M133" s="34"/>
      <c r="N133" s="34"/>
      <c r="O133" s="34"/>
      <c r="P133" s="34"/>
      <c r="Q133" s="34"/>
      <c r="R133" s="34"/>
      <c r="S133" s="35"/>
      <c r="T133" s="35"/>
      <c r="U133" s="35"/>
      <c r="V133" s="126"/>
      <c r="W133" s="127"/>
      <c r="X133" s="128"/>
      <c r="Y133" s="7"/>
    </row>
    <row r="134" ht="16.5" customHeight="1">
      <c r="A134" s="79"/>
      <c r="B134" t="s" s="132">
        <v>79</v>
      </c>
      <c r="C134" t="s" s="90">
        <v>54</v>
      </c>
      <c r="D134" s="114">
        <v>12061001385</v>
      </c>
      <c r="E134" t="s" s="90">
        <v>8</v>
      </c>
      <c r="F134" t="s" s="90">
        <v>8</v>
      </c>
      <c r="G134" t="s" s="90">
        <v>52</v>
      </c>
      <c r="H134" s="34"/>
      <c r="I134" s="34"/>
      <c r="J134" s="34"/>
      <c r="K134" s="34"/>
      <c r="L134" s="34"/>
      <c r="M134" s="34"/>
      <c r="N134" s="34"/>
      <c r="O134" s="34"/>
      <c r="P134" s="34"/>
      <c r="Q134" s="34"/>
      <c r="R134" s="34"/>
      <c r="S134" s="35"/>
      <c r="T134" s="35"/>
      <c r="U134" s="35"/>
      <c r="V134" s="126"/>
      <c r="W134" s="127"/>
      <c r="X134" s="128"/>
      <c r="Y134" s="7"/>
    </row>
    <row r="135" ht="16.5" customHeight="1">
      <c r="A135" s="79"/>
      <c r="B135" t="s" s="132">
        <v>8</v>
      </c>
      <c r="C135" t="s" s="94">
        <v>58</v>
      </c>
      <c r="D135" t="s" s="95">
        <v>8</v>
      </c>
      <c r="E135" s="89"/>
      <c r="F135" s="89"/>
      <c r="G135" s="89"/>
      <c r="H135" s="34"/>
      <c r="I135" s="34"/>
      <c r="J135" s="34"/>
      <c r="K135" s="34"/>
      <c r="L135" s="34"/>
      <c r="M135" s="34"/>
      <c r="N135" s="34"/>
      <c r="O135" s="34"/>
      <c r="P135" s="34"/>
      <c r="Q135" s="34"/>
      <c r="R135" s="34"/>
      <c r="S135" s="35"/>
      <c r="T135" s="35"/>
      <c r="U135" s="35"/>
      <c r="V135" s="126"/>
      <c r="W135" s="127"/>
      <c r="X135" s="128"/>
      <c r="Y135" s="7"/>
    </row>
    <row r="136" ht="13.55" customHeight="1">
      <c r="A136" s="79"/>
      <c r="B136" s="101">
        <v>45782</v>
      </c>
      <c r="C136" t="s" s="80">
        <v>260</v>
      </c>
      <c r="D136" t="s" s="80">
        <v>261</v>
      </c>
      <c r="E136" s="34"/>
      <c r="F136" s="34"/>
      <c r="G136" s="34">
        <v>16768.96</v>
      </c>
      <c r="H136" s="34"/>
      <c r="I136" s="34"/>
      <c r="J136" s="34"/>
      <c r="K136" s="34"/>
      <c r="L136" s="34"/>
      <c r="M136" s="34"/>
      <c r="N136" s="34"/>
      <c r="O136" s="34"/>
      <c r="P136" s="34"/>
      <c r="Q136" s="34"/>
      <c r="R136" s="34"/>
      <c r="S136" s="34" cm="1">
        <f t="array" ref="S136">G136</f>
        <v>16768.96</v>
      </c>
      <c r="T136" s="35"/>
      <c r="U136" s="35"/>
      <c r="V136" s="126"/>
      <c r="W136" s="127"/>
      <c r="X136" s="128"/>
      <c r="Y136" s="7"/>
    </row>
    <row r="137" ht="13.55" customHeight="1">
      <c r="A137" s="79"/>
      <c r="B137" s="101">
        <v>45789</v>
      </c>
      <c r="C137" t="s" s="80">
        <v>260</v>
      </c>
      <c r="D137" t="s" s="80">
        <v>261</v>
      </c>
      <c r="E137" s="34"/>
      <c r="F137" s="34"/>
      <c r="G137" s="34">
        <v>7888.99</v>
      </c>
      <c r="H137" s="34"/>
      <c r="I137" s="34"/>
      <c r="J137" s="34"/>
      <c r="K137" s="34"/>
      <c r="L137" s="34"/>
      <c r="M137" s="34"/>
      <c r="N137" s="34"/>
      <c r="O137" s="34"/>
      <c r="P137" s="34"/>
      <c r="Q137" s="34"/>
      <c r="R137" s="34"/>
      <c r="S137" s="34" cm="1">
        <f t="array" ref="S137">G137</f>
        <v>7888.99</v>
      </c>
      <c r="T137" s="35"/>
      <c r="U137" s="35"/>
      <c r="V137" s="126"/>
      <c r="W137" s="127"/>
      <c r="X137" s="128"/>
      <c r="Y137" s="7"/>
    </row>
    <row r="138" ht="13.55" customHeight="1">
      <c r="A138" s="79"/>
      <c r="B138" s="101">
        <v>45790</v>
      </c>
      <c r="C138" t="s" s="80">
        <v>197</v>
      </c>
      <c r="D138" t="s" s="80">
        <v>262</v>
      </c>
      <c r="E138" s="34"/>
      <c r="F138" s="34"/>
      <c r="G138" s="34">
        <v>14002.08</v>
      </c>
      <c r="H138" s="34"/>
      <c r="I138" s="34"/>
      <c r="J138" s="34"/>
      <c r="K138" s="34"/>
      <c r="L138" s="34"/>
      <c r="M138" s="34" cm="1">
        <f t="array" ref="M138">G138</f>
        <v>14002.08</v>
      </c>
      <c r="N138" s="34"/>
      <c r="O138" s="34"/>
      <c r="P138" s="34"/>
      <c r="Q138" s="34"/>
      <c r="R138" s="34"/>
      <c r="S138" s="35"/>
      <c r="T138" s="35"/>
      <c r="U138" s="35"/>
      <c r="V138" s="126"/>
      <c r="W138" s="127"/>
      <c r="X138" s="128"/>
      <c r="Y138" s="7"/>
    </row>
    <row r="139" ht="13.55" customHeight="1">
      <c r="A139" s="79"/>
      <c r="B139" s="101">
        <v>45790</v>
      </c>
      <c r="C139" t="s" s="80">
        <v>99</v>
      </c>
      <c r="D139" t="s" s="80">
        <v>263</v>
      </c>
      <c r="E139" s="34"/>
      <c r="F139" s="34"/>
      <c r="G139" s="34">
        <v>10</v>
      </c>
      <c r="H139" s="34"/>
      <c r="I139" s="34"/>
      <c r="J139" s="34"/>
      <c r="K139" s="34"/>
      <c r="L139" s="34"/>
      <c r="M139" s="34"/>
      <c r="N139" s="34"/>
      <c r="O139" s="34">
        <v>10</v>
      </c>
      <c r="P139" s="34"/>
      <c r="Q139" s="34"/>
      <c r="R139" s="34"/>
      <c r="S139" s="35"/>
      <c r="T139" s="35"/>
      <c r="U139" s="35"/>
      <c r="V139" s="126"/>
      <c r="W139" s="127"/>
      <c r="X139" s="128"/>
      <c r="Y139" s="7"/>
    </row>
    <row r="140" ht="13.55" customHeight="1">
      <c r="A140" s="79"/>
      <c r="B140" s="101">
        <v>45790</v>
      </c>
      <c r="C140" t="s" s="80">
        <v>99</v>
      </c>
      <c r="D140" t="s" s="80">
        <v>264</v>
      </c>
      <c r="E140" s="34"/>
      <c r="F140" s="34"/>
      <c r="G140" s="34">
        <v>1.6</v>
      </c>
      <c r="H140" s="34"/>
      <c r="I140" s="34"/>
      <c r="J140" s="34"/>
      <c r="K140" s="34"/>
      <c r="L140" s="34"/>
      <c r="M140" s="34"/>
      <c r="N140" s="34"/>
      <c r="O140" s="34"/>
      <c r="P140" s="34">
        <v>1.6</v>
      </c>
      <c r="Q140" t="s" s="80">
        <v>8</v>
      </c>
      <c r="R140" s="34"/>
      <c r="S140" s="35"/>
      <c r="T140" s="35"/>
      <c r="U140" s="35"/>
      <c r="V140" s="126"/>
      <c r="W140" s="127"/>
      <c r="X140" s="128"/>
      <c r="Y140" s="7"/>
    </row>
    <row r="141" ht="13.55" customHeight="1">
      <c r="A141" s="79"/>
      <c r="B141" s="101">
        <v>45792</v>
      </c>
      <c r="C141" t="s" s="80">
        <v>99</v>
      </c>
      <c r="D141" t="s" s="80">
        <v>265</v>
      </c>
      <c r="E141" s="34"/>
      <c r="F141" s="34"/>
      <c r="G141" s="34">
        <v>865</v>
      </c>
      <c r="H141" s="34"/>
      <c r="I141" s="34"/>
      <c r="J141" s="34"/>
      <c r="K141" s="34"/>
      <c r="L141" s="34"/>
      <c r="M141" s="34"/>
      <c r="N141" s="34"/>
      <c r="O141" s="34">
        <v>865</v>
      </c>
      <c r="P141" s="34"/>
      <c r="Q141" t="s" s="80">
        <v>8</v>
      </c>
      <c r="R141" s="34"/>
      <c r="S141" s="35"/>
      <c r="T141" s="35"/>
      <c r="U141" s="35"/>
      <c r="V141" s="126"/>
      <c r="W141" s="127"/>
      <c r="X141" s="128"/>
      <c r="Y141" s="7"/>
    </row>
    <row r="142" ht="13.55" customHeight="1">
      <c r="A142" s="79"/>
      <c r="B142" s="101">
        <v>45792</v>
      </c>
      <c r="C142" t="s" s="80">
        <v>99</v>
      </c>
      <c r="D142" t="s" s="80">
        <v>266</v>
      </c>
      <c r="E142" s="34"/>
      <c r="F142" s="34"/>
      <c r="G142" s="34">
        <v>138.4</v>
      </c>
      <c r="H142" s="34"/>
      <c r="I142" s="34"/>
      <c r="J142" s="34"/>
      <c r="K142" s="34"/>
      <c r="L142" s="34"/>
      <c r="M142" s="34"/>
      <c r="N142" s="34"/>
      <c r="O142" s="34"/>
      <c r="P142" s="34">
        <v>138.4</v>
      </c>
      <c r="Q142" t="s" s="80">
        <v>8</v>
      </c>
      <c r="R142" s="34"/>
      <c r="S142" s="35"/>
      <c r="T142" s="35"/>
      <c r="U142" s="35"/>
      <c r="V142" s="126"/>
      <c r="W142" s="127"/>
      <c r="X142" s="128"/>
      <c r="Y142" s="7"/>
    </row>
    <row r="143" ht="13.55" customHeight="1">
      <c r="A143" s="79"/>
      <c r="B143" s="101">
        <v>45792</v>
      </c>
      <c r="C143" t="s" s="80">
        <v>99</v>
      </c>
      <c r="D143" t="s" s="80">
        <v>265</v>
      </c>
      <c r="E143" s="34"/>
      <c r="F143" s="34"/>
      <c r="G143" s="34">
        <v>138.7</v>
      </c>
      <c r="H143" s="34"/>
      <c r="I143" s="34"/>
      <c r="J143" s="34"/>
      <c r="K143" s="34"/>
      <c r="L143" s="34"/>
      <c r="M143" s="34"/>
      <c r="N143" s="34"/>
      <c r="O143" s="34">
        <v>138.7</v>
      </c>
      <c r="P143" s="34"/>
      <c r="Q143" t="s" s="80">
        <v>8</v>
      </c>
      <c r="R143" s="34"/>
      <c r="S143" s="35"/>
      <c r="T143" s="35"/>
      <c r="U143" s="35"/>
      <c r="V143" s="126"/>
      <c r="W143" s="127"/>
      <c r="X143" s="128"/>
      <c r="Y143" s="7"/>
    </row>
    <row r="144" ht="13.55" customHeight="1">
      <c r="A144" s="79"/>
      <c r="B144" s="101">
        <v>45792</v>
      </c>
      <c r="C144" t="s" s="80">
        <v>99</v>
      </c>
      <c r="D144" t="s" s="80">
        <v>266</v>
      </c>
      <c r="E144" s="34"/>
      <c r="F144" s="34"/>
      <c r="G144" s="34">
        <v>22.18</v>
      </c>
      <c r="H144" s="34"/>
      <c r="I144" s="34"/>
      <c r="J144" s="34"/>
      <c r="K144" s="34"/>
      <c r="L144" s="34"/>
      <c r="M144" s="34"/>
      <c r="N144" s="34"/>
      <c r="O144" s="34"/>
      <c r="P144" s="34">
        <v>22.18</v>
      </c>
      <c r="Q144" t="s" s="80">
        <v>8</v>
      </c>
      <c r="R144" s="34"/>
      <c r="S144" s="35"/>
      <c r="T144" s="35"/>
      <c r="U144" s="35"/>
      <c r="V144" s="126"/>
      <c r="W144" s="127"/>
      <c r="X144" s="128"/>
      <c r="Y144" s="7"/>
    </row>
    <row r="145" ht="13.55" customHeight="1">
      <c r="A145" s="79"/>
      <c r="B145" s="101">
        <v>45792</v>
      </c>
      <c r="C145" t="s" s="80">
        <v>99</v>
      </c>
      <c r="D145" t="s" s="80">
        <v>265</v>
      </c>
      <c r="E145" s="34"/>
      <c r="F145" s="34"/>
      <c r="G145" s="34">
        <v>650.48</v>
      </c>
      <c r="H145" s="34"/>
      <c r="I145" s="34"/>
      <c r="J145" s="34"/>
      <c r="K145" s="34"/>
      <c r="L145" s="34"/>
      <c r="M145" s="34"/>
      <c r="N145" s="34"/>
      <c r="O145" s="34">
        <v>650.48</v>
      </c>
      <c r="P145" s="34"/>
      <c r="Q145" t="s" s="80">
        <v>8</v>
      </c>
      <c r="R145" s="34"/>
      <c r="S145" s="35"/>
      <c r="T145" s="35"/>
      <c r="U145" s="35"/>
      <c r="V145" s="126"/>
      <c r="W145" s="127"/>
      <c r="X145" s="128"/>
      <c r="Y145" s="7"/>
    </row>
    <row r="146" ht="13.55" customHeight="1">
      <c r="A146" s="79"/>
      <c r="B146" s="101">
        <v>45792</v>
      </c>
      <c r="C146" t="s" s="80">
        <v>99</v>
      </c>
      <c r="D146" t="s" s="80">
        <v>266</v>
      </c>
      <c r="E146" s="34"/>
      <c r="F146" s="34"/>
      <c r="G146" s="34">
        <v>104.08</v>
      </c>
      <c r="H146" s="34"/>
      <c r="I146" s="34"/>
      <c r="J146" s="34"/>
      <c r="K146" s="34"/>
      <c r="L146" s="34"/>
      <c r="M146" s="34"/>
      <c r="N146" s="34"/>
      <c r="O146" s="34"/>
      <c r="P146" s="34">
        <v>104.08</v>
      </c>
      <c r="Q146" t="s" s="80">
        <v>8</v>
      </c>
      <c r="R146" s="34"/>
      <c r="S146" s="35"/>
      <c r="T146" s="35"/>
      <c r="U146" s="35"/>
      <c r="V146" s="126"/>
      <c r="W146" s="127"/>
      <c r="X146" s="128"/>
      <c r="Y146" s="7"/>
    </row>
    <row r="147" ht="13.55" customHeight="1">
      <c r="A147" s="79"/>
      <c r="B147" s="101">
        <v>45797</v>
      </c>
      <c r="C147" t="s" s="80">
        <v>99</v>
      </c>
      <c r="D147" t="s" s="80">
        <v>265</v>
      </c>
      <c r="E147" s="34"/>
      <c r="F147" s="34"/>
      <c r="G147" s="34">
        <v>35</v>
      </c>
      <c r="H147" s="34"/>
      <c r="I147" s="34"/>
      <c r="J147" s="34"/>
      <c r="K147" s="34"/>
      <c r="L147" s="34"/>
      <c r="M147" s="34"/>
      <c r="N147" s="34"/>
      <c r="O147" s="34">
        <v>35</v>
      </c>
      <c r="P147" t="s" s="80">
        <v>8</v>
      </c>
      <c r="Q147" t="s" s="80">
        <v>8</v>
      </c>
      <c r="R147" s="34"/>
      <c r="S147" s="35"/>
      <c r="T147" s="35"/>
      <c r="U147" s="35"/>
      <c r="V147" s="126"/>
      <c r="W147" s="127"/>
      <c r="X147" s="128"/>
      <c r="Y147" s="7"/>
    </row>
    <row r="148" ht="13.55" customHeight="1">
      <c r="A148" s="79"/>
      <c r="B148" s="101">
        <v>45797</v>
      </c>
      <c r="C148" t="s" s="80">
        <v>99</v>
      </c>
      <c r="D148" t="s" s="80">
        <v>266</v>
      </c>
      <c r="E148" s="34"/>
      <c r="F148" s="34"/>
      <c r="G148" s="34">
        <v>5.6</v>
      </c>
      <c r="H148" s="34"/>
      <c r="I148" s="34"/>
      <c r="J148" s="34"/>
      <c r="K148" s="34"/>
      <c r="L148" s="34"/>
      <c r="M148" s="34"/>
      <c r="N148" s="34"/>
      <c r="O148" s="34"/>
      <c r="P148" s="34">
        <v>5.6</v>
      </c>
      <c r="Q148" t="s" s="80">
        <v>8</v>
      </c>
      <c r="R148" s="34"/>
      <c r="S148" s="35"/>
      <c r="T148" s="35"/>
      <c r="U148" s="35"/>
      <c r="V148" s="126"/>
      <c r="W148" s="127"/>
      <c r="X148" s="128"/>
      <c r="Y148" s="7"/>
    </row>
    <row r="149" ht="13.55" customHeight="1">
      <c r="A149" s="79"/>
      <c r="B149" s="101">
        <v>45800</v>
      </c>
      <c r="C149" t="s" s="80">
        <v>197</v>
      </c>
      <c r="D149" t="s" s="80">
        <v>204</v>
      </c>
      <c r="E149" s="34"/>
      <c r="F149" s="34"/>
      <c r="G149" s="34">
        <v>10000</v>
      </c>
      <c r="H149" s="34"/>
      <c r="I149" s="34"/>
      <c r="J149" s="34"/>
      <c r="K149" s="34"/>
      <c r="L149" s="34"/>
      <c r="M149" s="34"/>
      <c r="N149" s="34" cm="1">
        <f t="array" ref="N149">G149</f>
        <v>10000</v>
      </c>
      <c r="O149" s="34"/>
      <c r="P149" s="34"/>
      <c r="Q149" t="s" s="80">
        <v>8</v>
      </c>
      <c r="R149" s="34"/>
      <c r="S149" s="35"/>
      <c r="T149" s="35"/>
      <c r="U149" s="35"/>
      <c r="V149" s="126"/>
      <c r="W149" s="127"/>
      <c r="X149" s="128"/>
      <c r="Y149" s="7"/>
    </row>
    <row r="150" ht="13.55" customHeight="1">
      <c r="A150" s="79"/>
      <c r="B150" s="101">
        <v>45807</v>
      </c>
      <c r="C150" t="s" s="80">
        <v>197</v>
      </c>
      <c r="D150" t="s" s="80">
        <v>267</v>
      </c>
      <c r="E150" s="34"/>
      <c r="F150" s="34"/>
      <c r="G150" s="34">
        <v>17675.23</v>
      </c>
      <c r="H150" s="34"/>
      <c r="I150" s="34"/>
      <c r="J150" s="34"/>
      <c r="K150" s="34"/>
      <c r="L150" s="34"/>
      <c r="M150" s="34" cm="1">
        <f t="array" ref="M150">G150</f>
        <v>17675.23</v>
      </c>
      <c r="N150" s="34"/>
      <c r="O150" s="34"/>
      <c r="P150" s="34"/>
      <c r="Q150" s="34"/>
      <c r="R150" s="34"/>
      <c r="S150" s="35"/>
      <c r="T150" s="35"/>
      <c r="U150" s="35"/>
      <c r="V150" s="126"/>
      <c r="W150" s="127"/>
      <c r="X150" s="128"/>
      <c r="Y150" s="7"/>
    </row>
    <row r="151" ht="13.55" customHeight="1">
      <c r="A151" s="79"/>
      <c r="B151" s="101">
        <v>45807</v>
      </c>
      <c r="C151" t="s" s="80">
        <v>99</v>
      </c>
      <c r="D151" t="s" s="80">
        <v>265</v>
      </c>
      <c r="E151" s="34"/>
      <c r="F151" s="34"/>
      <c r="G151" s="34">
        <v>10</v>
      </c>
      <c r="H151" s="34"/>
      <c r="I151" s="34"/>
      <c r="J151" s="34"/>
      <c r="K151" s="34"/>
      <c r="L151" s="34"/>
      <c r="M151" s="34"/>
      <c r="N151" s="34"/>
      <c r="O151" s="34">
        <v>10</v>
      </c>
      <c r="P151" s="34"/>
      <c r="Q151" t="s" s="80">
        <v>8</v>
      </c>
      <c r="R151" s="34"/>
      <c r="S151" s="35"/>
      <c r="T151" s="35"/>
      <c r="U151" s="35"/>
      <c r="V151" s="126"/>
      <c r="W151" s="127"/>
      <c r="X151" s="128"/>
      <c r="Y151" s="7"/>
    </row>
    <row r="152" ht="13.55" customHeight="1">
      <c r="A152" s="79"/>
      <c r="B152" s="101">
        <v>45807</v>
      </c>
      <c r="C152" t="s" s="80">
        <v>99</v>
      </c>
      <c r="D152" t="s" s="80">
        <v>266</v>
      </c>
      <c r="E152" s="34"/>
      <c r="F152" s="34"/>
      <c r="G152" s="34">
        <v>1.6</v>
      </c>
      <c r="H152" s="34"/>
      <c r="I152" s="34"/>
      <c r="J152" s="34"/>
      <c r="K152" s="34"/>
      <c r="L152" s="34"/>
      <c r="M152" s="34"/>
      <c r="N152" s="34"/>
      <c r="O152" s="34"/>
      <c r="P152" s="34">
        <v>1.6</v>
      </c>
      <c r="Q152" t="s" s="80">
        <v>8</v>
      </c>
      <c r="R152" s="34"/>
      <c r="S152" s="35"/>
      <c r="T152" s="35"/>
      <c r="U152" s="35"/>
      <c r="V152" s="126"/>
      <c r="W152" s="127"/>
      <c r="X152" s="128"/>
      <c r="Y152" s="7"/>
    </row>
    <row r="153" ht="13.55" customHeight="1">
      <c r="A153" s="79"/>
      <c r="B153" s="101">
        <v>45808</v>
      </c>
      <c r="C153" t="s" s="80">
        <v>99</v>
      </c>
      <c r="D153" t="s" s="80">
        <v>241</v>
      </c>
      <c r="E153" s="34"/>
      <c r="F153" s="34"/>
      <c r="G153" s="34">
        <v>400</v>
      </c>
      <c r="H153" s="34"/>
      <c r="I153" s="34"/>
      <c r="J153" s="34"/>
      <c r="K153" s="34"/>
      <c r="L153" s="34"/>
      <c r="M153" s="34"/>
      <c r="N153" s="34"/>
      <c r="O153" s="34">
        <v>400</v>
      </c>
      <c r="P153" s="34"/>
      <c r="Q153" s="34"/>
      <c r="R153" s="34"/>
      <c r="S153" s="35"/>
      <c r="T153" s="35"/>
      <c r="U153" s="35"/>
      <c r="V153" s="35"/>
      <c r="W153" s="136"/>
      <c r="X153" s="128"/>
      <c r="Y153" s="7"/>
    </row>
    <row r="154" ht="13.55" customHeight="1">
      <c r="A154" s="79"/>
      <c r="B154" s="101">
        <v>45808</v>
      </c>
      <c r="C154" t="s" s="80">
        <v>99</v>
      </c>
      <c r="D154" t="s" s="80">
        <v>244</v>
      </c>
      <c r="E154" s="34"/>
      <c r="F154" s="34"/>
      <c r="G154" s="34">
        <v>64</v>
      </c>
      <c r="H154" s="34"/>
      <c r="I154" s="34"/>
      <c r="J154" s="34"/>
      <c r="K154" s="34"/>
      <c r="L154" s="34"/>
      <c r="M154" s="34"/>
      <c r="N154" s="34"/>
      <c r="O154" s="34"/>
      <c r="P154" s="34">
        <v>64</v>
      </c>
      <c r="Q154" s="34"/>
      <c r="R154" s="34"/>
      <c r="S154" s="35"/>
      <c r="T154" s="35"/>
      <c r="U154" s="35"/>
      <c r="V154" s="35"/>
      <c r="W154" s="136"/>
      <c r="X154" s="128"/>
      <c r="Y154" s="7"/>
    </row>
    <row r="155" ht="13.55" customHeight="1">
      <c r="A155" s="79"/>
      <c r="B155" s="101"/>
      <c r="C155" s="35"/>
      <c r="D155" s="35"/>
      <c r="E155" s="34"/>
      <c r="F155" s="34"/>
      <c r="G155" s="34" cm="1">
        <f t="array" ref="G155">SUM(G136:G154)</f>
        <v>68781.899999999994</v>
      </c>
      <c r="H155" s="99" cm="1">
        <f t="array" ref="H155">SUM(H136:H152)</f>
        <v>0</v>
      </c>
      <c r="I155" s="99" cm="1">
        <f t="array" ref="I155">SUM(I136:I152)</f>
        <v>0</v>
      </c>
      <c r="J155" s="99" cm="1">
        <f t="array" ref="J155">SUM(J136:J152)</f>
        <v>0</v>
      </c>
      <c r="K155" s="99" cm="1">
        <f t="array" ref="K155">SUM(K136:K152)</f>
        <v>0</v>
      </c>
      <c r="L155" s="99" cm="1">
        <f t="array" ref="L155">SUM(L136:L152)</f>
        <v>0</v>
      </c>
      <c r="M155" s="99" cm="1">
        <f t="array" ref="M155">SUM(M136:M152)</f>
        <v>31677.31</v>
      </c>
      <c r="N155" s="99" cm="1">
        <f t="array" ref="N155">SUM(N136:N152)</f>
        <v>10000</v>
      </c>
      <c r="O155" s="99" cm="1">
        <f t="array" ref="O155">SUM(O136:O153)</f>
        <v>2109.18</v>
      </c>
      <c r="P155" s="99" cm="1">
        <f t="array" ref="P155">SUM(P136:P154)</f>
        <v>337.46</v>
      </c>
      <c r="Q155" s="99" cm="1">
        <f t="array" ref="Q155">SUM(Q136:Q152)</f>
        <v>0</v>
      </c>
      <c r="R155" s="99" cm="1">
        <f t="array" ref="R155">SUM(R136:R152)</f>
        <v>0</v>
      </c>
      <c r="S155" s="99" cm="1">
        <f t="array" ref="S155">SUM(S136:S152)</f>
        <v>24657.95</v>
      </c>
      <c r="T155" s="99" cm="1">
        <f t="array" ref="T155">SUM(T136:T152)</f>
        <v>0</v>
      </c>
      <c r="U155" s="99" cm="1">
        <f t="array" ref="U155">SUM(U136:U152)</f>
        <v>0</v>
      </c>
      <c r="V155" s="99" cm="1">
        <f t="array" ref="V155">SUM(V136:V152)</f>
        <v>0</v>
      </c>
      <c r="W155" s="133" cm="1">
        <f t="array" ref="W155">SUM(W136:W152)</f>
        <v>0</v>
      </c>
      <c r="X155" s="134" cm="1">
        <f t="array" ref="X155">W155+V155+U155+T155+S155+R155+Q155+P155+O155+N155+M155+L155+K155+J155+I155+H155</f>
        <v>68781.899999999994</v>
      </c>
      <c r="Y155" t="s" s="26">
        <v>8</v>
      </c>
    </row>
    <row r="156" ht="13.55" customHeight="1">
      <c r="A156" s="79"/>
      <c r="B156" s="101"/>
      <c r="C156" s="35"/>
      <c r="D156" s="35"/>
      <c r="E156" s="34"/>
      <c r="F156" s="34"/>
      <c r="G156" s="34"/>
      <c r="H156" s="34"/>
      <c r="I156" s="34"/>
      <c r="J156" s="34"/>
      <c r="K156" s="34"/>
      <c r="L156" s="34"/>
      <c r="M156" s="34"/>
      <c r="N156" s="34"/>
      <c r="O156" s="34"/>
      <c r="P156" s="34"/>
      <c r="Q156" s="34"/>
      <c r="R156" s="34"/>
      <c r="S156" s="35"/>
      <c r="T156" s="35"/>
      <c r="U156" s="35"/>
      <c r="V156" s="126"/>
      <c r="W156" s="127"/>
      <c r="X156" s="128"/>
      <c r="Y156" s="7"/>
    </row>
    <row r="157" ht="18" customHeight="1">
      <c r="A157" s="79"/>
      <c r="B157" t="s" s="125">
        <v>77</v>
      </c>
      <c r="C157" s="87"/>
      <c r="D157" s="88"/>
      <c r="E157" s="113"/>
      <c r="F157" s="113"/>
      <c r="G157" s="34"/>
      <c r="H157" s="34"/>
      <c r="I157" s="34"/>
      <c r="J157" s="34"/>
      <c r="K157" s="34"/>
      <c r="L157" s="34"/>
      <c r="M157" s="34"/>
      <c r="N157" s="34"/>
      <c r="O157" s="34"/>
      <c r="P157" s="34"/>
      <c r="Q157" s="34"/>
      <c r="R157" s="34"/>
      <c r="S157" s="35"/>
      <c r="T157" s="35"/>
      <c r="U157" s="35"/>
      <c r="V157" s="126"/>
      <c r="W157" s="127"/>
      <c r="X157" s="128"/>
      <c r="Y157" s="7"/>
    </row>
    <row r="158" ht="18" customHeight="1">
      <c r="A158" s="79"/>
      <c r="B158" t="s" s="125">
        <v>145</v>
      </c>
      <c r="C158" s="87"/>
      <c r="D158" s="88"/>
      <c r="E158" s="88"/>
      <c r="F158" s="88"/>
      <c r="G158" s="34"/>
      <c r="H158" s="34"/>
      <c r="I158" s="34"/>
      <c r="J158" s="34"/>
      <c r="K158" s="34"/>
      <c r="L158" s="34"/>
      <c r="M158" s="34"/>
      <c r="N158" s="34"/>
      <c r="O158" s="34"/>
      <c r="P158" s="34"/>
      <c r="Q158" s="34"/>
      <c r="R158" s="34"/>
      <c r="S158" s="35"/>
      <c r="T158" s="35"/>
      <c r="U158" s="35"/>
      <c r="V158" s="126"/>
      <c r="W158" s="127"/>
      <c r="X158" s="128"/>
      <c r="Y158" s="7"/>
    </row>
    <row r="159" ht="16.5" customHeight="1">
      <c r="A159" s="79"/>
      <c r="B159" s="131"/>
      <c r="C159" s="89"/>
      <c r="D159" t="s" s="90">
        <v>78</v>
      </c>
      <c r="E159" t="s" s="90">
        <v>8</v>
      </c>
      <c r="F159" t="s" s="90">
        <v>8</v>
      </c>
      <c r="G159" t="s" s="90">
        <v>8</v>
      </c>
      <c r="H159" s="34"/>
      <c r="I159" s="34"/>
      <c r="J159" s="34"/>
      <c r="K159" s="34"/>
      <c r="L159" s="34"/>
      <c r="M159" s="34"/>
      <c r="N159" s="34"/>
      <c r="O159" s="34"/>
      <c r="P159" s="34"/>
      <c r="Q159" s="34"/>
      <c r="R159" s="34"/>
      <c r="S159" s="35"/>
      <c r="T159" s="35"/>
      <c r="U159" s="35"/>
      <c r="V159" s="126"/>
      <c r="W159" s="127"/>
      <c r="X159" s="128"/>
      <c r="Y159" s="7"/>
    </row>
    <row r="160" ht="16.5" customHeight="1">
      <c r="A160" s="79"/>
      <c r="B160" t="s" s="132">
        <v>79</v>
      </c>
      <c r="C160" t="s" s="90">
        <v>54</v>
      </c>
      <c r="D160" s="114">
        <v>12061001385</v>
      </c>
      <c r="E160" t="s" s="90">
        <v>8</v>
      </c>
      <c r="F160" t="s" s="90">
        <v>8</v>
      </c>
      <c r="G160" t="s" s="90">
        <v>52</v>
      </c>
      <c r="H160" s="34"/>
      <c r="I160" s="34"/>
      <c r="J160" s="34"/>
      <c r="K160" s="34"/>
      <c r="L160" s="34"/>
      <c r="M160" s="34"/>
      <c r="N160" s="34"/>
      <c r="O160" s="34"/>
      <c r="P160" s="34"/>
      <c r="Q160" s="34"/>
      <c r="R160" s="34"/>
      <c r="S160" s="35"/>
      <c r="T160" s="35"/>
      <c r="U160" s="35"/>
      <c r="V160" s="126"/>
      <c r="W160" s="127"/>
      <c r="X160" s="128"/>
      <c r="Y160" s="7"/>
    </row>
    <row r="161" ht="16.5" customHeight="1">
      <c r="A161" s="79"/>
      <c r="B161" t="s" s="132">
        <v>8</v>
      </c>
      <c r="C161" t="s" s="94">
        <v>58</v>
      </c>
      <c r="D161" t="s" s="95">
        <v>8</v>
      </c>
      <c r="E161" s="89"/>
      <c r="F161" s="89"/>
      <c r="G161" s="89"/>
      <c r="H161" s="34"/>
      <c r="I161" s="34"/>
      <c r="J161" s="34"/>
      <c r="K161" s="34"/>
      <c r="L161" s="34"/>
      <c r="M161" s="34"/>
      <c r="N161" s="34"/>
      <c r="O161" s="34"/>
      <c r="P161" s="34"/>
      <c r="Q161" s="34"/>
      <c r="R161" s="34"/>
      <c r="S161" s="35"/>
      <c r="T161" s="35"/>
      <c r="U161" s="35"/>
      <c r="V161" s="126"/>
      <c r="W161" s="127"/>
      <c r="X161" s="128"/>
      <c r="Y161" s="7"/>
    </row>
    <row r="162" ht="13.55" customHeight="1">
      <c r="A162" s="79"/>
      <c r="B162" s="101">
        <v>45813</v>
      </c>
      <c r="C162" t="s" s="80">
        <v>268</v>
      </c>
      <c r="D162" t="s" s="80">
        <v>208</v>
      </c>
      <c r="E162" s="34"/>
      <c r="F162" s="34"/>
      <c r="G162" s="34">
        <v>3309.25</v>
      </c>
      <c r="H162" s="34"/>
      <c r="I162" s="34"/>
      <c r="J162" s="34"/>
      <c r="K162" s="34"/>
      <c r="L162" s="34"/>
      <c r="M162" s="34"/>
      <c r="N162" s="34"/>
      <c r="O162" s="34"/>
      <c r="P162" s="34"/>
      <c r="Q162" s="34" cm="1">
        <f t="array" ref="Q162">G162</f>
        <v>3309.25</v>
      </c>
      <c r="R162" s="34"/>
      <c r="S162" s="35"/>
      <c r="T162" s="35"/>
      <c r="U162" s="35"/>
      <c r="V162" s="126"/>
      <c r="W162" s="127"/>
      <c r="X162" s="128"/>
      <c r="Y162" s="7"/>
    </row>
    <row r="163" ht="13.55" customHeight="1">
      <c r="A163" s="79"/>
      <c r="B163" s="101">
        <v>45813</v>
      </c>
      <c r="C163" t="s" s="80">
        <v>268</v>
      </c>
      <c r="D163" t="s" s="80">
        <v>208</v>
      </c>
      <c r="E163" s="34"/>
      <c r="F163" s="34"/>
      <c r="G163" s="34">
        <v>3309.25</v>
      </c>
      <c r="H163" s="34"/>
      <c r="I163" s="34"/>
      <c r="J163" s="34"/>
      <c r="K163" s="34"/>
      <c r="L163" s="34"/>
      <c r="M163" s="34"/>
      <c r="N163" s="34"/>
      <c r="O163" s="34"/>
      <c r="P163" s="34"/>
      <c r="Q163" s="34" cm="1">
        <f t="array" ref="Q163">G163</f>
        <v>3309.25</v>
      </c>
      <c r="R163" s="34"/>
      <c r="S163" s="35"/>
      <c r="T163" s="35"/>
      <c r="U163" s="35"/>
      <c r="V163" s="126"/>
      <c r="W163" s="127"/>
      <c r="X163" s="128"/>
      <c r="Y163" s="7"/>
    </row>
    <row r="164" ht="13.55" customHeight="1">
      <c r="A164" s="79"/>
      <c r="B164" s="101">
        <v>45821</v>
      </c>
      <c r="C164" t="s" s="80">
        <v>99</v>
      </c>
      <c r="D164" t="s" s="80">
        <v>269</v>
      </c>
      <c r="E164" s="34"/>
      <c r="F164" s="34"/>
      <c r="G164" s="34">
        <v>14002.08</v>
      </c>
      <c r="H164" s="34"/>
      <c r="I164" s="34"/>
      <c r="J164" s="34"/>
      <c r="K164" s="34"/>
      <c r="L164" s="34"/>
      <c r="M164" s="34" cm="1">
        <f t="array" ref="M164">G164</f>
        <v>14002.08</v>
      </c>
      <c r="N164" s="34"/>
      <c r="O164" s="34"/>
      <c r="P164" s="34"/>
      <c r="Q164" s="34"/>
      <c r="R164" s="34"/>
      <c r="S164" s="35"/>
      <c r="T164" s="35"/>
      <c r="U164" s="35"/>
      <c r="V164" s="126"/>
      <c r="W164" s="127"/>
      <c r="X164" s="128"/>
      <c r="Y164" s="7"/>
    </row>
    <row r="165" ht="13.55" customHeight="1">
      <c r="A165" s="79"/>
      <c r="B165" s="101">
        <v>45821</v>
      </c>
      <c r="C165" t="s" s="80">
        <v>99</v>
      </c>
      <c r="D165" t="s" s="80">
        <v>270</v>
      </c>
      <c r="E165" s="34"/>
      <c r="F165" s="34"/>
      <c r="G165" s="34">
        <v>10</v>
      </c>
      <c r="H165" s="34"/>
      <c r="I165" s="34"/>
      <c r="J165" s="34"/>
      <c r="K165" s="34"/>
      <c r="L165" s="34"/>
      <c r="M165" s="34"/>
      <c r="N165" t="s" s="80">
        <v>8</v>
      </c>
      <c r="O165" s="34">
        <v>10</v>
      </c>
      <c r="P165" s="34"/>
      <c r="Q165" s="34"/>
      <c r="R165" s="34"/>
      <c r="S165" s="35"/>
      <c r="T165" s="35"/>
      <c r="U165" s="35"/>
      <c r="V165" s="126"/>
      <c r="W165" s="127"/>
      <c r="X165" s="128"/>
      <c r="Y165" s="7"/>
    </row>
    <row r="166" ht="13.55" customHeight="1">
      <c r="A166" s="79"/>
      <c r="B166" s="101">
        <v>45821</v>
      </c>
      <c r="C166" t="s" s="80">
        <v>99</v>
      </c>
      <c r="D166" t="s" s="80">
        <v>271</v>
      </c>
      <c r="E166" s="34"/>
      <c r="F166" s="34"/>
      <c r="G166" s="34">
        <v>1.6</v>
      </c>
      <c r="H166" s="34"/>
      <c r="I166" s="34"/>
      <c r="J166" s="34"/>
      <c r="K166" s="34"/>
      <c r="L166" s="34"/>
      <c r="M166" s="34"/>
      <c r="N166" t="s" s="80">
        <v>8</v>
      </c>
      <c r="O166" s="34"/>
      <c r="P166" s="34">
        <v>1.6</v>
      </c>
      <c r="Q166" s="34"/>
      <c r="R166" s="34"/>
      <c r="S166" s="35"/>
      <c r="T166" s="35"/>
      <c r="U166" s="35"/>
      <c r="V166" s="126"/>
      <c r="W166" s="127"/>
      <c r="X166" s="128"/>
      <c r="Y166" s="7"/>
    </row>
    <row r="167" ht="13.55" customHeight="1">
      <c r="A167" s="79"/>
      <c r="B167" s="101">
        <v>45824</v>
      </c>
      <c r="C167" t="s" s="80">
        <v>99</v>
      </c>
      <c r="D167" t="s" s="80">
        <v>235</v>
      </c>
      <c r="E167" s="34"/>
      <c r="F167" s="34"/>
      <c r="G167" s="34">
        <v>620.98</v>
      </c>
      <c r="H167" s="34"/>
      <c r="I167" s="34"/>
      <c r="J167" s="34"/>
      <c r="K167" s="34"/>
      <c r="L167" s="34"/>
      <c r="M167" s="34"/>
      <c r="N167" t="s" s="80">
        <v>8</v>
      </c>
      <c r="O167" s="34">
        <v>620.98</v>
      </c>
      <c r="P167" s="34"/>
      <c r="Q167" s="34"/>
      <c r="R167" s="34"/>
      <c r="S167" s="35"/>
      <c r="T167" s="35"/>
      <c r="U167" s="35"/>
      <c r="V167" s="126"/>
      <c r="W167" s="127"/>
      <c r="X167" s="128"/>
      <c r="Y167" s="7"/>
    </row>
    <row r="168" ht="13.55" customHeight="1">
      <c r="A168" s="79"/>
      <c r="B168" s="101">
        <v>45824</v>
      </c>
      <c r="C168" t="s" s="80">
        <v>99</v>
      </c>
      <c r="D168" t="s" s="80">
        <v>272</v>
      </c>
      <c r="E168" s="34"/>
      <c r="F168" s="34"/>
      <c r="G168" s="34">
        <v>99.36</v>
      </c>
      <c r="H168" s="34"/>
      <c r="I168" s="34"/>
      <c r="J168" s="34"/>
      <c r="K168" s="34"/>
      <c r="L168" s="34"/>
      <c r="M168" s="34"/>
      <c r="N168" t="s" s="80">
        <v>8</v>
      </c>
      <c r="O168" s="34"/>
      <c r="P168" s="34">
        <v>99.36</v>
      </c>
      <c r="Q168" s="34"/>
      <c r="R168" s="34"/>
      <c r="S168" s="35"/>
      <c r="T168" s="35"/>
      <c r="U168" s="35"/>
      <c r="V168" s="126"/>
      <c r="W168" s="127"/>
      <c r="X168" s="128"/>
      <c r="Y168" s="7"/>
    </row>
    <row r="169" ht="13.55" customHeight="1">
      <c r="A169" s="79"/>
      <c r="B169" s="101">
        <v>45824</v>
      </c>
      <c r="C169" t="s" s="80">
        <v>99</v>
      </c>
      <c r="D169" t="s" s="80">
        <v>273</v>
      </c>
      <c r="E169" s="34"/>
      <c r="F169" s="34"/>
      <c r="G169" s="34">
        <v>910</v>
      </c>
      <c r="H169" s="34"/>
      <c r="I169" s="34"/>
      <c r="J169" s="34"/>
      <c r="K169" s="34"/>
      <c r="L169" s="34"/>
      <c r="M169" s="34"/>
      <c r="N169" t="s" s="80">
        <v>8</v>
      </c>
      <c r="O169" s="34" cm="1">
        <f t="array" ref="O169">G169</f>
        <v>910</v>
      </c>
      <c r="P169" s="34"/>
      <c r="Q169" s="34"/>
      <c r="R169" s="34"/>
      <c r="S169" s="35"/>
      <c r="T169" s="35"/>
      <c r="U169" s="35"/>
      <c r="V169" s="126"/>
      <c r="W169" s="127"/>
      <c r="X169" s="128"/>
      <c r="Y169" s="7"/>
    </row>
    <row r="170" ht="13.55" customHeight="1">
      <c r="A170" s="79"/>
      <c r="B170" s="101">
        <v>45824</v>
      </c>
      <c r="C170" t="s" s="80">
        <v>99</v>
      </c>
      <c r="D170" t="s" s="80">
        <v>274</v>
      </c>
      <c r="E170" s="34"/>
      <c r="F170" s="34"/>
      <c r="G170" s="34">
        <v>145.6</v>
      </c>
      <c r="H170" s="34"/>
      <c r="I170" s="34"/>
      <c r="J170" s="34"/>
      <c r="K170" s="34"/>
      <c r="L170" s="34"/>
      <c r="M170" s="34"/>
      <c r="N170" t="s" s="80">
        <v>8</v>
      </c>
      <c r="O170" s="34"/>
      <c r="P170" s="34" cm="1">
        <f t="array" ref="P170">G170</f>
        <v>145.6</v>
      </c>
      <c r="Q170" s="34"/>
      <c r="R170" s="34"/>
      <c r="S170" s="35"/>
      <c r="T170" s="35"/>
      <c r="U170" s="35"/>
      <c r="V170" s="126"/>
      <c r="W170" s="127"/>
      <c r="X170" s="128"/>
      <c r="Y170" s="7"/>
    </row>
    <row r="171" ht="13.55" customHeight="1">
      <c r="A171" s="79"/>
      <c r="B171" s="101">
        <v>45824</v>
      </c>
      <c r="C171" t="s" s="80">
        <v>99</v>
      </c>
      <c r="D171" t="s" s="80">
        <v>275</v>
      </c>
      <c r="E171" s="34"/>
      <c r="F171" s="34"/>
      <c r="G171" s="34">
        <v>123.5</v>
      </c>
      <c r="H171" s="34"/>
      <c r="I171" s="34"/>
      <c r="J171" s="34"/>
      <c r="K171" s="34"/>
      <c r="L171" s="34"/>
      <c r="M171" s="34"/>
      <c r="N171" t="s" s="80">
        <v>8</v>
      </c>
      <c r="O171" s="34" cm="1">
        <f t="array" ref="O171">G171</f>
        <v>123.5</v>
      </c>
      <c r="P171" s="34"/>
      <c r="Q171" s="34"/>
      <c r="R171" s="34"/>
      <c r="S171" s="35"/>
      <c r="T171" s="35"/>
      <c r="U171" s="35"/>
      <c r="V171" s="126"/>
      <c r="W171" s="127"/>
      <c r="X171" s="128"/>
      <c r="Y171" s="7"/>
    </row>
    <row r="172" ht="13.55" customHeight="1">
      <c r="A172" s="79"/>
      <c r="B172" s="101">
        <v>45824</v>
      </c>
      <c r="C172" t="s" s="80">
        <v>99</v>
      </c>
      <c r="D172" t="s" s="80">
        <v>276</v>
      </c>
      <c r="E172" s="34"/>
      <c r="F172" s="34"/>
      <c r="G172" s="34">
        <v>19.75</v>
      </c>
      <c r="H172" s="34"/>
      <c r="I172" s="34"/>
      <c r="J172" s="34"/>
      <c r="K172" s="34"/>
      <c r="L172" s="34"/>
      <c r="M172" s="34"/>
      <c r="N172" t="s" s="80">
        <v>8</v>
      </c>
      <c r="O172" s="34"/>
      <c r="P172" s="34">
        <v>19.75</v>
      </c>
      <c r="Q172" s="34"/>
      <c r="R172" s="34"/>
      <c r="S172" s="35"/>
      <c r="T172" s="35"/>
      <c r="U172" s="35"/>
      <c r="V172" s="126"/>
      <c r="W172" s="127"/>
      <c r="X172" s="128"/>
      <c r="Y172" s="7"/>
    </row>
    <row r="173" ht="13.55" customHeight="1">
      <c r="A173" s="79"/>
      <c r="B173" s="101">
        <v>45825</v>
      </c>
      <c r="C173" t="s" s="80">
        <v>277</v>
      </c>
      <c r="D173" t="s" s="80">
        <v>278</v>
      </c>
      <c r="E173" s="34"/>
      <c r="F173" s="34"/>
      <c r="G173" s="34">
        <v>348</v>
      </c>
      <c r="H173" s="34"/>
      <c r="I173" s="34"/>
      <c r="J173" s="34"/>
      <c r="K173" s="34"/>
      <c r="L173" s="34"/>
      <c r="M173" s="34"/>
      <c r="N173" t="s" s="80">
        <v>8</v>
      </c>
      <c r="O173" t="s" s="80">
        <v>8</v>
      </c>
      <c r="P173" s="34"/>
      <c r="Q173" s="34" cm="1">
        <f t="array" ref="Q173">G173</f>
        <v>348</v>
      </c>
      <c r="R173" s="34"/>
      <c r="S173" s="35"/>
      <c r="T173" s="35"/>
      <c r="U173" s="35"/>
      <c r="V173" s="126"/>
      <c r="W173" s="127"/>
      <c r="X173" s="128"/>
      <c r="Y173" s="7"/>
    </row>
    <row r="174" ht="13.55" customHeight="1">
      <c r="A174" s="79"/>
      <c r="B174" s="101">
        <v>45827</v>
      </c>
      <c r="C174" t="s" s="80">
        <v>99</v>
      </c>
      <c r="D174" t="s" s="80">
        <v>279</v>
      </c>
      <c r="E174" s="34"/>
      <c r="F174" s="34"/>
      <c r="G174" s="34">
        <v>1058.75</v>
      </c>
      <c r="H174" s="34"/>
      <c r="I174" s="34"/>
      <c r="J174" s="34"/>
      <c r="K174" s="34"/>
      <c r="L174" s="34"/>
      <c r="M174" s="34"/>
      <c r="N174" t="s" s="80">
        <v>8</v>
      </c>
      <c r="O174" s="34">
        <v>1058.75</v>
      </c>
      <c r="P174" s="34"/>
      <c r="Q174" s="34"/>
      <c r="R174" s="34"/>
      <c r="S174" s="35"/>
      <c r="T174" s="35"/>
      <c r="U174" s="35"/>
      <c r="V174" s="126"/>
      <c r="W174" s="127"/>
      <c r="X174" s="128"/>
      <c r="Y174" s="7"/>
    </row>
    <row r="175" ht="13.55" customHeight="1">
      <c r="A175" s="79"/>
      <c r="B175" s="101">
        <v>45827</v>
      </c>
      <c r="C175" t="s" s="80">
        <v>99</v>
      </c>
      <c r="D175" t="s" s="80">
        <v>279</v>
      </c>
      <c r="E175" s="34"/>
      <c r="F175" s="34"/>
      <c r="G175" s="34">
        <v>169.4</v>
      </c>
      <c r="H175" s="34"/>
      <c r="I175" s="34"/>
      <c r="J175" s="34"/>
      <c r="K175" s="34"/>
      <c r="L175" s="34"/>
      <c r="M175" s="34"/>
      <c r="N175" t="s" s="80">
        <v>8</v>
      </c>
      <c r="O175" s="34"/>
      <c r="P175" s="34">
        <v>169.4</v>
      </c>
      <c r="Q175" s="34"/>
      <c r="R175" s="34"/>
      <c r="S175" s="35"/>
      <c r="T175" s="35"/>
      <c r="U175" s="35"/>
      <c r="V175" s="126"/>
      <c r="W175" s="127"/>
      <c r="X175" s="128"/>
      <c r="Y175" s="7"/>
    </row>
    <row r="176" ht="13.55" customHeight="1">
      <c r="A176" s="79"/>
      <c r="B176" s="101">
        <v>45827</v>
      </c>
      <c r="C176" t="s" s="80">
        <v>99</v>
      </c>
      <c r="D176" t="s" s="80">
        <v>275</v>
      </c>
      <c r="E176" s="34"/>
      <c r="F176" s="34"/>
      <c r="G176" s="34">
        <v>348.65</v>
      </c>
      <c r="H176" s="34"/>
      <c r="I176" s="34"/>
      <c r="J176" s="34"/>
      <c r="K176" s="34"/>
      <c r="L176" s="34"/>
      <c r="M176" s="34"/>
      <c r="N176" t="s" s="80">
        <v>8</v>
      </c>
      <c r="O176" s="34" cm="1">
        <f t="array" ref="O176">G176</f>
        <v>348.65</v>
      </c>
      <c r="P176" s="34"/>
      <c r="Q176" s="34"/>
      <c r="R176" s="34"/>
      <c r="S176" s="35"/>
      <c r="T176" s="35"/>
      <c r="U176" s="35"/>
      <c r="V176" s="126"/>
      <c r="W176" s="127"/>
      <c r="X176" s="128"/>
      <c r="Y176" s="7"/>
    </row>
    <row r="177" ht="13.55" customHeight="1">
      <c r="A177" s="79"/>
      <c r="B177" s="101">
        <v>45827</v>
      </c>
      <c r="C177" t="s" s="80">
        <v>99</v>
      </c>
      <c r="D177" t="s" s="80">
        <v>280</v>
      </c>
      <c r="E177" s="34"/>
      <c r="F177" s="34"/>
      <c r="G177" s="34">
        <v>55.77</v>
      </c>
      <c r="H177" s="34"/>
      <c r="I177" s="34"/>
      <c r="J177" s="34"/>
      <c r="K177" s="34"/>
      <c r="L177" s="34"/>
      <c r="M177" s="34"/>
      <c r="N177" t="s" s="80">
        <v>8</v>
      </c>
      <c r="O177" s="34"/>
      <c r="P177" s="34" cm="1">
        <f t="array" ref="P177">G177</f>
        <v>55.77</v>
      </c>
      <c r="Q177" s="34"/>
      <c r="R177" s="34"/>
      <c r="S177" s="35"/>
      <c r="T177" s="35"/>
      <c r="U177" s="35"/>
      <c r="V177" s="126"/>
      <c r="W177" s="127"/>
      <c r="X177" s="128"/>
      <c r="Y177" s="7"/>
    </row>
    <row r="178" ht="13.55" customHeight="1">
      <c r="A178" s="79"/>
      <c r="B178" s="101">
        <v>45827</v>
      </c>
      <c r="C178" t="s" s="80">
        <v>99</v>
      </c>
      <c r="D178" t="s" s="80">
        <v>235</v>
      </c>
      <c r="E178" s="34"/>
      <c r="F178" s="34"/>
      <c r="G178" s="34">
        <v>29.5</v>
      </c>
      <c r="H178" s="34"/>
      <c r="I178" s="34"/>
      <c r="J178" s="34"/>
      <c r="K178" s="34"/>
      <c r="L178" s="34"/>
      <c r="M178" s="34"/>
      <c r="N178" t="s" s="80">
        <v>8</v>
      </c>
      <c r="O178" s="34" cm="1">
        <f t="array" ref="O178">G178</f>
        <v>29.5</v>
      </c>
      <c r="P178" s="34"/>
      <c r="Q178" s="34"/>
      <c r="R178" s="34"/>
      <c r="S178" s="35"/>
      <c r="T178" s="35"/>
      <c r="U178" s="35"/>
      <c r="V178" s="126"/>
      <c r="W178" s="127"/>
      <c r="X178" s="128"/>
      <c r="Y178" s="7"/>
    </row>
    <row r="179" ht="13.55" customHeight="1">
      <c r="A179" s="79"/>
      <c r="B179" s="101">
        <v>45827</v>
      </c>
      <c r="C179" t="s" s="80">
        <v>99</v>
      </c>
      <c r="D179" t="s" s="80">
        <v>281</v>
      </c>
      <c r="E179" s="34"/>
      <c r="F179" s="34"/>
      <c r="G179" s="34">
        <v>4.72</v>
      </c>
      <c r="H179" s="34"/>
      <c r="I179" s="34"/>
      <c r="J179" s="34"/>
      <c r="K179" s="34"/>
      <c r="L179" s="34"/>
      <c r="M179" s="34"/>
      <c r="N179" t="s" s="80">
        <v>8</v>
      </c>
      <c r="O179" s="34"/>
      <c r="P179" s="34" cm="1">
        <f t="array" ref="P179">G179</f>
        <v>4.72</v>
      </c>
      <c r="Q179" s="34"/>
      <c r="R179" s="34"/>
      <c r="S179" s="35"/>
      <c r="T179" s="35"/>
      <c r="U179" s="35"/>
      <c r="V179" s="126"/>
      <c r="W179" s="127"/>
      <c r="X179" s="128"/>
      <c r="Y179" s="7"/>
    </row>
    <row r="180" ht="13.55" customHeight="1">
      <c r="A180" s="79"/>
      <c r="B180" s="101">
        <v>45831</v>
      </c>
      <c r="C180" t="s" s="80">
        <v>99</v>
      </c>
      <c r="D180" t="s" s="80">
        <v>235</v>
      </c>
      <c r="E180" s="34"/>
      <c r="F180" s="34"/>
      <c r="G180" s="34">
        <v>14.75</v>
      </c>
      <c r="H180" s="34"/>
      <c r="I180" s="34"/>
      <c r="J180" s="34"/>
      <c r="K180" s="34"/>
      <c r="L180" s="34"/>
      <c r="M180" s="34"/>
      <c r="N180" t="s" s="80">
        <v>8</v>
      </c>
      <c r="O180" s="34" cm="1">
        <f t="array" ref="O180">G180</f>
        <v>14.75</v>
      </c>
      <c r="P180" s="34"/>
      <c r="Q180" s="34"/>
      <c r="R180" s="34"/>
      <c r="S180" s="35"/>
      <c r="T180" s="35"/>
      <c r="U180" s="35"/>
      <c r="V180" s="126"/>
      <c r="W180" s="127"/>
      <c r="X180" s="128"/>
      <c r="Y180" s="7"/>
    </row>
    <row r="181" ht="13.55" customHeight="1">
      <c r="A181" s="79"/>
      <c r="B181" s="101">
        <v>45831</v>
      </c>
      <c r="C181" t="s" s="80">
        <v>99</v>
      </c>
      <c r="D181" t="s" s="80">
        <v>272</v>
      </c>
      <c r="E181" s="34"/>
      <c r="F181" s="34"/>
      <c r="G181" s="34">
        <v>2.36</v>
      </c>
      <c r="H181" s="34"/>
      <c r="I181" s="34"/>
      <c r="J181" s="34"/>
      <c r="K181" s="34"/>
      <c r="L181" s="34"/>
      <c r="M181" s="34"/>
      <c r="N181" t="s" s="80">
        <v>8</v>
      </c>
      <c r="O181" s="34"/>
      <c r="P181" s="34" cm="1">
        <f t="array" ref="P181">G181</f>
        <v>2.36</v>
      </c>
      <c r="Q181" s="34"/>
      <c r="R181" s="34"/>
      <c r="S181" s="35"/>
      <c r="T181" s="35"/>
      <c r="U181" s="35"/>
      <c r="V181" s="126"/>
      <c r="W181" s="127"/>
      <c r="X181" s="128"/>
      <c r="Y181" s="7"/>
    </row>
    <row r="182" ht="13.55" customHeight="1">
      <c r="A182" s="79"/>
      <c r="B182" s="101">
        <v>45831</v>
      </c>
      <c r="C182" t="s" s="80">
        <v>99</v>
      </c>
      <c r="D182" t="s" s="80">
        <v>282</v>
      </c>
      <c r="E182" s="34"/>
      <c r="F182" s="34"/>
      <c r="G182" s="34">
        <v>0.48</v>
      </c>
      <c r="H182" s="34"/>
      <c r="I182" s="34"/>
      <c r="J182" s="34"/>
      <c r="K182" s="34"/>
      <c r="L182" s="34"/>
      <c r="M182" s="34"/>
      <c r="N182" t="s" s="80">
        <v>8</v>
      </c>
      <c r="O182" s="34" cm="1">
        <f t="array" ref="O182">G182</f>
        <v>0.48</v>
      </c>
      <c r="P182" s="34"/>
      <c r="Q182" s="34"/>
      <c r="R182" s="34"/>
      <c r="S182" s="35"/>
      <c r="T182" s="35"/>
      <c r="U182" s="35"/>
      <c r="V182" s="126"/>
      <c r="W182" s="127"/>
      <c r="X182" s="128"/>
      <c r="Y182" s="7"/>
    </row>
    <row r="183" ht="13.55" customHeight="1">
      <c r="A183" s="79"/>
      <c r="B183" s="101">
        <v>45831</v>
      </c>
      <c r="C183" t="s" s="80">
        <v>99</v>
      </c>
      <c r="D183" t="s" s="80">
        <v>276</v>
      </c>
      <c r="E183" s="34"/>
      <c r="F183" s="34"/>
      <c r="G183" s="34">
        <v>7.68</v>
      </c>
      <c r="H183" s="34"/>
      <c r="I183" s="34"/>
      <c r="J183" s="34"/>
      <c r="K183" s="34"/>
      <c r="L183" s="34"/>
      <c r="M183" s="34"/>
      <c r="N183" t="s" s="80">
        <v>8</v>
      </c>
      <c r="O183" s="34"/>
      <c r="P183" s="34" cm="1">
        <f t="array" ref="P183">G183</f>
        <v>7.68</v>
      </c>
      <c r="Q183" s="34"/>
      <c r="R183" s="34"/>
      <c r="S183" s="35"/>
      <c r="T183" s="35"/>
      <c r="U183" s="35"/>
      <c r="V183" s="126"/>
      <c r="W183" s="127"/>
      <c r="X183" s="128"/>
      <c r="Y183" s="7"/>
    </row>
    <row r="184" ht="13.55" customHeight="1">
      <c r="A184" s="79"/>
      <c r="B184" s="101">
        <v>45831</v>
      </c>
      <c r="C184" t="s" s="80">
        <v>99</v>
      </c>
      <c r="D184" t="s" s="80">
        <v>275</v>
      </c>
      <c r="E184" s="34"/>
      <c r="F184" s="34"/>
      <c r="G184" s="34">
        <v>28.5</v>
      </c>
      <c r="H184" s="34"/>
      <c r="I184" s="34"/>
      <c r="J184" s="34"/>
      <c r="K184" s="34"/>
      <c r="L184" s="34"/>
      <c r="M184" s="34"/>
      <c r="N184" t="s" s="80">
        <v>8</v>
      </c>
      <c r="O184" s="34" cm="1">
        <f t="array" ref="O184">G184</f>
        <v>28.5</v>
      </c>
      <c r="P184" s="34"/>
      <c r="Q184" s="34"/>
      <c r="R184" s="34"/>
      <c r="S184" s="35"/>
      <c r="T184" s="35"/>
      <c r="U184" s="35"/>
      <c r="V184" s="126"/>
      <c r="W184" s="127"/>
      <c r="X184" s="128"/>
      <c r="Y184" s="7"/>
    </row>
    <row r="185" ht="13.55" customHeight="1">
      <c r="A185" s="79"/>
      <c r="B185" s="101">
        <v>45831</v>
      </c>
      <c r="C185" t="s" s="80">
        <v>99</v>
      </c>
      <c r="D185" t="s" s="80">
        <v>276</v>
      </c>
      <c r="E185" s="34"/>
      <c r="F185" s="34"/>
      <c r="G185" s="34">
        <v>4.56</v>
      </c>
      <c r="H185" s="34"/>
      <c r="I185" s="34"/>
      <c r="J185" s="34"/>
      <c r="K185" s="34"/>
      <c r="L185" s="34"/>
      <c r="M185" s="34"/>
      <c r="N185" t="s" s="80">
        <v>8</v>
      </c>
      <c r="O185" s="34"/>
      <c r="P185" s="34" cm="1">
        <f t="array" ref="P185">G185</f>
        <v>4.56</v>
      </c>
      <c r="Q185" s="34"/>
      <c r="R185" s="34"/>
      <c r="S185" s="35"/>
      <c r="T185" s="35"/>
      <c r="U185" s="35"/>
      <c r="V185" s="126"/>
      <c r="W185" s="127"/>
      <c r="X185" s="128"/>
      <c r="Y185" s="7"/>
    </row>
    <row r="186" ht="13.55" customHeight="1">
      <c r="A186" s="79"/>
      <c r="B186" s="101">
        <v>45838</v>
      </c>
      <c r="C186" t="s" s="80">
        <v>197</v>
      </c>
      <c r="D186" t="s" s="80">
        <v>283</v>
      </c>
      <c r="E186" s="34"/>
      <c r="F186" s="34"/>
      <c r="G186" s="34">
        <v>14413.07</v>
      </c>
      <c r="H186" s="34"/>
      <c r="I186" s="34"/>
      <c r="J186" s="34"/>
      <c r="K186" s="34"/>
      <c r="L186" s="34"/>
      <c r="M186" s="34" cm="1">
        <f t="array" ref="M186">G186</f>
        <v>14413.07</v>
      </c>
      <c r="N186" s="34"/>
      <c r="O186" s="34"/>
      <c r="P186" s="34"/>
      <c r="Q186" s="34"/>
      <c r="R186" s="34"/>
      <c r="S186" s="35"/>
      <c r="T186" s="35"/>
      <c r="U186" s="35"/>
      <c r="V186" s="126"/>
      <c r="W186" s="127"/>
      <c r="X186" s="128"/>
      <c r="Y186" s="7"/>
    </row>
    <row r="187" ht="13.55" customHeight="1">
      <c r="A187" s="79"/>
      <c r="B187" s="101">
        <v>45838</v>
      </c>
      <c r="C187" t="s" s="80">
        <v>99</v>
      </c>
      <c r="D187" t="s" s="80">
        <v>284</v>
      </c>
      <c r="E187" s="34"/>
      <c r="F187" s="34"/>
      <c r="G187" s="34">
        <v>10</v>
      </c>
      <c r="H187" s="34"/>
      <c r="I187" s="34"/>
      <c r="J187" s="34"/>
      <c r="K187" s="34"/>
      <c r="L187" s="34"/>
      <c r="M187" s="34"/>
      <c r="N187" s="34"/>
      <c r="O187" s="34" cm="1">
        <f t="array" ref="O187">G187</f>
        <v>10</v>
      </c>
      <c r="P187" s="34"/>
      <c r="Q187" s="34"/>
      <c r="R187" s="34"/>
      <c r="S187" s="35"/>
      <c r="T187" s="35"/>
      <c r="U187" s="35"/>
      <c r="V187" s="126"/>
      <c r="W187" s="127"/>
      <c r="X187" s="128"/>
      <c r="Y187" s="7"/>
    </row>
    <row r="188" ht="13.55" customHeight="1">
      <c r="A188" s="79"/>
      <c r="B188" s="101">
        <v>45838</v>
      </c>
      <c r="C188" t="s" s="80">
        <v>99</v>
      </c>
      <c r="D188" t="s" s="80">
        <v>271</v>
      </c>
      <c r="E188" s="34"/>
      <c r="F188" s="34"/>
      <c r="G188" s="34">
        <v>1.6</v>
      </c>
      <c r="H188" s="34"/>
      <c r="I188" s="34"/>
      <c r="J188" s="34"/>
      <c r="K188" s="34"/>
      <c r="L188" s="34"/>
      <c r="M188" s="34"/>
      <c r="N188" s="34"/>
      <c r="O188" s="34"/>
      <c r="P188" s="34" cm="1">
        <f t="array" ref="P188">G188</f>
        <v>1.6</v>
      </c>
      <c r="Q188" s="34"/>
      <c r="R188" s="34"/>
      <c r="S188" s="35"/>
      <c r="T188" s="35"/>
      <c r="U188" s="35"/>
      <c r="V188" s="126"/>
      <c r="W188" s="127"/>
      <c r="X188" s="128"/>
      <c r="Y188" s="7"/>
    </row>
    <row r="189" ht="13.55" customHeight="1">
      <c r="A189" s="79"/>
      <c r="B189" s="101">
        <v>45838</v>
      </c>
      <c r="C189" t="s" s="80">
        <v>99</v>
      </c>
      <c r="D189" t="s" s="80">
        <v>285</v>
      </c>
      <c r="E189" s="34"/>
      <c r="F189" s="34"/>
      <c r="G189" s="34">
        <v>400</v>
      </c>
      <c r="H189" s="34"/>
      <c r="I189" s="34"/>
      <c r="J189" s="34"/>
      <c r="K189" s="34"/>
      <c r="L189" s="34"/>
      <c r="M189" s="34"/>
      <c r="N189" s="34"/>
      <c r="O189" s="34">
        <v>400</v>
      </c>
      <c r="P189" s="34"/>
      <c r="Q189" s="34"/>
      <c r="R189" s="34"/>
      <c r="S189" s="35"/>
      <c r="T189" s="35"/>
      <c r="U189" s="35"/>
      <c r="V189" s="35"/>
      <c r="W189" s="136"/>
      <c r="X189" s="128"/>
      <c r="Y189" s="7"/>
    </row>
    <row r="190" ht="13.55" customHeight="1">
      <c r="A190" s="79"/>
      <c r="B190" s="101">
        <v>45838</v>
      </c>
      <c r="C190" t="s" s="80">
        <v>286</v>
      </c>
      <c r="D190" t="s" s="80">
        <v>244</v>
      </c>
      <c r="E190" s="34"/>
      <c r="F190" s="34"/>
      <c r="G190" s="34">
        <v>64</v>
      </c>
      <c r="H190" s="34"/>
      <c r="I190" s="34"/>
      <c r="J190" s="34"/>
      <c r="K190" s="34"/>
      <c r="L190" s="34"/>
      <c r="M190" s="34"/>
      <c r="N190" s="34"/>
      <c r="O190" s="34"/>
      <c r="P190" s="34">
        <v>64</v>
      </c>
      <c r="Q190" s="34"/>
      <c r="R190" s="34"/>
      <c r="S190" s="35"/>
      <c r="T190" s="35"/>
      <c r="U190" s="35"/>
      <c r="V190" s="35"/>
      <c r="W190" s="136"/>
      <c r="X190" s="128"/>
      <c r="Y190" s="7"/>
    </row>
    <row r="191" ht="13.55" customHeight="1">
      <c r="A191" s="79"/>
      <c r="B191" s="101"/>
      <c r="C191" s="34"/>
      <c r="D191" s="35"/>
      <c r="E191" s="35"/>
      <c r="F191" s="35"/>
      <c r="G191" s="34" cm="1">
        <f t="array" ref="G191">SUM(G162:G190)</f>
        <v>39513.16</v>
      </c>
      <c r="H191" s="99" cm="1">
        <f t="array" ref="H191">SUM(H162:H188)</f>
        <v>0</v>
      </c>
      <c r="I191" s="99" cm="1">
        <f t="array" ref="I191">SUM(I162:I188)</f>
        <v>0</v>
      </c>
      <c r="J191" s="99" cm="1">
        <f t="array" ref="J191">SUM(J162:J188)</f>
        <v>0</v>
      </c>
      <c r="K191" s="99" cm="1">
        <f t="array" ref="K191">SUM(K162:K188)</f>
        <v>0</v>
      </c>
      <c r="L191" s="99" cm="1">
        <f t="array" ref="L191">SUM(L162:L188)</f>
        <v>0</v>
      </c>
      <c r="M191" s="99" cm="1">
        <f t="array" ref="M191">SUM(M162:M188)</f>
        <v>28415.15</v>
      </c>
      <c r="N191" s="99" cm="1">
        <f t="array" ref="N191">SUM(N162:N188)</f>
        <v>0</v>
      </c>
      <c r="O191" s="99" cm="1">
        <f t="array" ref="O191">SUM(O162:O189)</f>
        <v>3555.11</v>
      </c>
      <c r="P191" s="99" cm="1">
        <f t="array" ref="P191">SUM(P162:P190)</f>
        <v>576.4</v>
      </c>
      <c r="Q191" s="99" cm="1">
        <f t="array" ref="Q191">SUM(Q162:Q188)</f>
        <v>6966.5</v>
      </c>
      <c r="R191" s="99" cm="1">
        <f t="array" ref="R191">SUM(R162:R188)</f>
        <v>0</v>
      </c>
      <c r="S191" s="99" cm="1">
        <f t="array" ref="S191">SUM(S162:S188)</f>
        <v>0</v>
      </c>
      <c r="T191" s="99" cm="1">
        <f t="array" ref="T191">SUM(T162:T188)</f>
        <v>0</v>
      </c>
      <c r="U191" s="99" cm="1">
        <f t="array" ref="U191">SUM(U162:U188)</f>
        <v>0</v>
      </c>
      <c r="V191" s="99" cm="1">
        <f t="array" ref="V191">SUM(V162:V188)</f>
        <v>0</v>
      </c>
      <c r="W191" s="133" cm="1">
        <f t="array" ref="W191">SUM(W162:W188)</f>
        <v>0</v>
      </c>
      <c r="X191" s="134" cm="1">
        <f t="array" ref="X191">W191+V191+U191+T191+S191+R191+Q191+P191+O191+N191+M191+L191+K191+J191+I191+H191</f>
        <v>39513.16</v>
      </c>
      <c r="Y191" t="s" s="26">
        <v>8</v>
      </c>
    </row>
    <row r="192" ht="13.55" customHeight="1">
      <c r="A192" s="79"/>
      <c r="B192" s="101"/>
      <c r="C192" s="34"/>
      <c r="D192" s="35"/>
      <c r="E192" s="35"/>
      <c r="F192" s="35"/>
      <c r="G192" s="35"/>
      <c r="H192" s="34"/>
      <c r="I192" s="34"/>
      <c r="J192" s="34"/>
      <c r="K192" s="34"/>
      <c r="L192" s="34"/>
      <c r="M192" s="34"/>
      <c r="N192" s="34"/>
      <c r="O192" s="34"/>
      <c r="P192" s="34"/>
      <c r="Q192" s="34"/>
      <c r="R192" s="34"/>
      <c r="S192" s="35"/>
      <c r="T192" s="35"/>
      <c r="U192" s="35"/>
      <c r="V192" s="126"/>
      <c r="W192" s="127"/>
      <c r="X192" s="128"/>
      <c r="Y192" s="7"/>
    </row>
    <row r="193" ht="18" customHeight="1">
      <c r="A193" s="79"/>
      <c r="B193" t="s" s="125">
        <v>77</v>
      </c>
      <c r="C193" s="87"/>
      <c r="D193" s="88"/>
      <c r="E193" s="113"/>
      <c r="F193" s="113"/>
      <c r="G193" s="34"/>
      <c r="H193" s="34"/>
      <c r="I193" s="34"/>
      <c r="J193" s="34"/>
      <c r="K193" s="34"/>
      <c r="L193" s="34"/>
      <c r="M193" s="34"/>
      <c r="N193" s="34"/>
      <c r="O193" s="34"/>
      <c r="P193" s="34"/>
      <c r="Q193" s="34"/>
      <c r="R193" s="34"/>
      <c r="S193" s="35"/>
      <c r="T193" s="35"/>
      <c r="U193" s="35"/>
      <c r="V193" s="126"/>
      <c r="W193" s="127"/>
      <c r="X193" s="128"/>
      <c r="Y193" s="7"/>
    </row>
    <row r="194" ht="18" customHeight="1">
      <c r="A194" s="79"/>
      <c r="B194" t="s" s="125">
        <v>163</v>
      </c>
      <c r="C194" s="87"/>
      <c r="D194" s="88"/>
      <c r="E194" s="88"/>
      <c r="F194" s="88"/>
      <c r="G194" s="34"/>
      <c r="H194" s="34"/>
      <c r="I194" s="34"/>
      <c r="J194" s="34"/>
      <c r="K194" s="34"/>
      <c r="L194" s="34"/>
      <c r="M194" s="34"/>
      <c r="N194" s="34"/>
      <c r="O194" s="34"/>
      <c r="P194" s="34"/>
      <c r="Q194" s="34"/>
      <c r="R194" s="34"/>
      <c r="S194" s="35"/>
      <c r="T194" s="35"/>
      <c r="U194" s="35"/>
      <c r="V194" s="126"/>
      <c r="W194" s="127"/>
      <c r="X194" s="128"/>
      <c r="Y194" s="7"/>
    </row>
    <row r="195" ht="16.5" customHeight="1">
      <c r="A195" s="79"/>
      <c r="B195" s="131"/>
      <c r="C195" s="89"/>
      <c r="D195" t="s" s="90">
        <v>78</v>
      </c>
      <c r="E195" t="s" s="90">
        <v>8</v>
      </c>
      <c r="F195" t="s" s="90">
        <v>8</v>
      </c>
      <c r="G195" t="s" s="90">
        <v>8</v>
      </c>
      <c r="H195" s="34"/>
      <c r="I195" s="34"/>
      <c r="J195" s="34"/>
      <c r="K195" s="34"/>
      <c r="L195" s="34"/>
      <c r="M195" s="34"/>
      <c r="N195" s="34"/>
      <c r="O195" s="34"/>
      <c r="P195" s="34"/>
      <c r="Q195" s="34"/>
      <c r="R195" s="34"/>
      <c r="S195" s="35"/>
      <c r="T195" s="35"/>
      <c r="U195" s="35"/>
      <c r="V195" s="126"/>
      <c r="W195" s="127"/>
      <c r="X195" s="128"/>
      <c r="Y195" s="7"/>
    </row>
    <row r="196" ht="16.5" customHeight="1">
      <c r="A196" s="79"/>
      <c r="B196" t="s" s="132">
        <v>79</v>
      </c>
      <c r="C196" t="s" s="90">
        <v>54</v>
      </c>
      <c r="D196" s="114">
        <v>12061001385</v>
      </c>
      <c r="E196" t="s" s="90">
        <v>8</v>
      </c>
      <c r="F196" t="s" s="90">
        <v>8</v>
      </c>
      <c r="G196" t="s" s="90">
        <v>52</v>
      </c>
      <c r="H196" s="34"/>
      <c r="I196" s="34"/>
      <c r="J196" s="34"/>
      <c r="K196" s="34"/>
      <c r="L196" s="34"/>
      <c r="M196" s="34"/>
      <c r="N196" s="34"/>
      <c r="O196" s="34"/>
      <c r="P196" s="34"/>
      <c r="Q196" s="34"/>
      <c r="R196" s="34"/>
      <c r="S196" s="35"/>
      <c r="T196" s="35"/>
      <c r="U196" s="35"/>
      <c r="V196" s="126"/>
      <c r="W196" s="127"/>
      <c r="X196" s="128"/>
      <c r="Y196" s="7"/>
    </row>
    <row r="197" ht="16.5" customHeight="1">
      <c r="A197" s="79"/>
      <c r="B197" t="s" s="132">
        <v>8</v>
      </c>
      <c r="C197" t="s" s="94">
        <v>58</v>
      </c>
      <c r="D197" t="s" s="95">
        <v>8</v>
      </c>
      <c r="E197" s="89"/>
      <c r="F197" s="89"/>
      <c r="G197" s="89"/>
      <c r="H197" s="34"/>
      <c r="I197" s="34"/>
      <c r="J197" s="34"/>
      <c r="K197" s="34"/>
      <c r="L197" s="34"/>
      <c r="M197" s="34"/>
      <c r="N197" s="34"/>
      <c r="O197" s="34"/>
      <c r="P197" s="34"/>
      <c r="Q197" s="34"/>
      <c r="R197" s="34"/>
      <c r="S197" s="35"/>
      <c r="T197" s="35"/>
      <c r="U197" s="35"/>
      <c r="V197" s="126"/>
      <c r="W197" s="127"/>
      <c r="X197" s="128"/>
      <c r="Y197" s="7"/>
    </row>
    <row r="198" ht="13.55" customHeight="1">
      <c r="A198" s="79"/>
      <c r="B198" s="101">
        <v>45849</v>
      </c>
      <c r="C198" t="s" s="80">
        <v>287</v>
      </c>
      <c r="D198" t="s" s="80">
        <v>204</v>
      </c>
      <c r="E198" s="34"/>
      <c r="F198" s="34"/>
      <c r="G198" s="34">
        <v>100000</v>
      </c>
      <c r="H198" s="34"/>
      <c r="I198" s="34"/>
      <c r="J198" s="34"/>
      <c r="K198" s="34"/>
      <c r="L198" s="34"/>
      <c r="M198" s="34"/>
      <c r="N198" s="34" cm="1">
        <f t="array" ref="N198">G198</f>
        <v>100000</v>
      </c>
      <c r="O198" s="34"/>
      <c r="P198" s="34"/>
      <c r="Q198" s="34"/>
      <c r="R198" s="34"/>
      <c r="S198" s="35"/>
      <c r="T198" s="35"/>
      <c r="U198" s="35"/>
      <c r="V198" s="126"/>
      <c r="W198" s="127"/>
      <c r="X198" s="128"/>
      <c r="Y198" s="7"/>
    </row>
    <row r="199" ht="13.55" customHeight="1">
      <c r="A199" s="79"/>
      <c r="B199" s="101">
        <v>45852</v>
      </c>
      <c r="C199" t="s" s="80">
        <v>197</v>
      </c>
      <c r="D199" t="s" s="80">
        <v>283</v>
      </c>
      <c r="E199" s="34"/>
      <c r="F199" s="34"/>
      <c r="G199" s="34">
        <v>13068.7</v>
      </c>
      <c r="H199" s="34"/>
      <c r="I199" s="34"/>
      <c r="J199" s="34"/>
      <c r="K199" s="34"/>
      <c r="L199" s="34"/>
      <c r="M199" s="34" cm="1">
        <f t="array" ref="M199">G199</f>
        <v>13068.7</v>
      </c>
      <c r="N199" s="34"/>
      <c r="O199" s="34"/>
      <c r="P199" s="34"/>
      <c r="Q199" s="34"/>
      <c r="R199" s="34"/>
      <c r="S199" s="35"/>
      <c r="T199" s="35"/>
      <c r="U199" s="35"/>
      <c r="V199" s="126"/>
      <c r="W199" s="127"/>
      <c r="X199" s="128"/>
      <c r="Y199" s="7"/>
    </row>
    <row r="200" ht="13.55" customHeight="1">
      <c r="A200" s="79"/>
      <c r="B200" s="101">
        <v>45852</v>
      </c>
      <c r="C200" t="s" s="80">
        <v>99</v>
      </c>
      <c r="D200" t="s" s="80">
        <v>288</v>
      </c>
      <c r="E200" s="34"/>
      <c r="F200" s="34"/>
      <c r="G200" s="34">
        <v>11.6</v>
      </c>
      <c r="H200" s="34"/>
      <c r="I200" s="34"/>
      <c r="J200" s="34"/>
      <c r="K200" s="34"/>
      <c r="L200" s="34"/>
      <c r="M200" s="34"/>
      <c r="N200" s="34"/>
      <c r="O200" t="s" s="80">
        <v>8</v>
      </c>
      <c r="P200" s="34" cm="1">
        <f t="array" ref="P200">G200</f>
        <v>11.6</v>
      </c>
      <c r="Q200" s="34"/>
      <c r="R200" s="34"/>
      <c r="S200" s="35"/>
      <c r="T200" s="35"/>
      <c r="U200" s="35"/>
      <c r="V200" s="126"/>
      <c r="W200" s="127"/>
      <c r="X200" s="128"/>
      <c r="Y200" s="7"/>
    </row>
    <row r="201" ht="13.55" customHeight="1">
      <c r="A201" s="79"/>
      <c r="B201" s="101">
        <v>46949</v>
      </c>
      <c r="C201" t="s" s="80">
        <v>99</v>
      </c>
      <c r="D201" t="s" s="80">
        <v>282</v>
      </c>
      <c r="E201" s="34"/>
      <c r="F201" s="34"/>
      <c r="G201" s="34">
        <v>1014</v>
      </c>
      <c r="H201" s="34"/>
      <c r="I201" s="34"/>
      <c r="J201" s="34"/>
      <c r="K201" s="34"/>
      <c r="L201" s="34"/>
      <c r="M201" s="34"/>
      <c r="N201" s="34"/>
      <c r="O201" s="34" cm="1">
        <f t="array" ref="O201">G201</f>
        <v>1014</v>
      </c>
      <c r="P201" s="34"/>
      <c r="Q201" s="34"/>
      <c r="R201" s="34"/>
      <c r="S201" s="35"/>
      <c r="T201" s="35"/>
      <c r="U201" s="35"/>
      <c r="V201" s="126"/>
      <c r="W201" s="127"/>
      <c r="X201" s="128"/>
      <c r="Y201" s="7"/>
    </row>
    <row r="202" ht="13.55" customHeight="1">
      <c r="A202" s="79"/>
      <c r="B202" s="101">
        <v>45853</v>
      </c>
      <c r="C202" t="s" s="80">
        <v>99</v>
      </c>
      <c r="D202" t="s" s="80">
        <v>274</v>
      </c>
      <c r="E202" s="34"/>
      <c r="F202" s="34"/>
      <c r="G202" s="34">
        <v>162.24</v>
      </c>
      <c r="H202" s="34"/>
      <c r="I202" s="34"/>
      <c r="J202" s="34"/>
      <c r="K202" s="34"/>
      <c r="L202" s="34"/>
      <c r="M202" s="34"/>
      <c r="N202" s="34"/>
      <c r="O202" s="34"/>
      <c r="P202" s="34" cm="1">
        <f t="array" ref="P202">G202</f>
        <v>162.24</v>
      </c>
      <c r="Q202" s="34"/>
      <c r="R202" s="34"/>
      <c r="S202" s="35"/>
      <c r="T202" s="35"/>
      <c r="U202" s="35"/>
      <c r="V202" s="126"/>
      <c r="W202" s="127"/>
      <c r="X202" s="128"/>
      <c r="Y202" s="7"/>
    </row>
    <row r="203" ht="13.55" customHeight="1">
      <c r="A203" s="79"/>
      <c r="B203" s="101">
        <v>45853</v>
      </c>
      <c r="C203" t="s" s="80">
        <v>99</v>
      </c>
      <c r="D203" t="s" s="80">
        <v>275</v>
      </c>
      <c r="E203" s="34"/>
      <c r="F203" s="34"/>
      <c r="G203" s="34">
        <v>146.3</v>
      </c>
      <c r="H203" s="34"/>
      <c r="I203" s="34"/>
      <c r="J203" s="34"/>
      <c r="K203" s="34"/>
      <c r="L203" s="34"/>
      <c r="M203" s="34"/>
      <c r="N203" s="34"/>
      <c r="O203" s="34" cm="1">
        <f t="array" ref="O203">G203</f>
        <v>146.3</v>
      </c>
      <c r="P203" s="34"/>
      <c r="Q203" s="34"/>
      <c r="R203" s="34"/>
      <c r="S203" s="35"/>
      <c r="T203" s="35"/>
      <c r="U203" s="35"/>
      <c r="V203" s="126"/>
      <c r="W203" s="127"/>
      <c r="X203" s="128"/>
      <c r="Y203" s="7"/>
    </row>
    <row r="204" ht="13.55" customHeight="1">
      <c r="A204" s="79"/>
      <c r="B204" s="101">
        <v>45853</v>
      </c>
      <c r="C204" t="s" s="80">
        <v>99</v>
      </c>
      <c r="D204" t="s" s="80">
        <v>276</v>
      </c>
      <c r="E204" s="34"/>
      <c r="F204" s="34"/>
      <c r="G204" s="34">
        <v>23.4</v>
      </c>
      <c r="H204" s="34"/>
      <c r="I204" s="34"/>
      <c r="J204" s="34"/>
      <c r="K204" s="34"/>
      <c r="L204" s="34"/>
      <c r="M204" s="34"/>
      <c r="N204" s="34"/>
      <c r="O204" s="34"/>
      <c r="P204" s="34" cm="1">
        <f t="array" ref="P204">G204</f>
        <v>23.4</v>
      </c>
      <c r="Q204" s="34"/>
      <c r="R204" s="34"/>
      <c r="S204" s="35"/>
      <c r="T204" s="35"/>
      <c r="U204" s="35"/>
      <c r="V204" s="126"/>
      <c r="W204" s="127"/>
      <c r="X204" s="128"/>
      <c r="Y204" s="7"/>
    </row>
    <row r="205" ht="13.55" customHeight="1">
      <c r="A205" s="79"/>
      <c r="B205" s="101">
        <v>45853</v>
      </c>
      <c r="C205" t="s" s="80">
        <v>99</v>
      </c>
      <c r="D205" t="s" s="80">
        <v>289</v>
      </c>
      <c r="E205" s="34"/>
      <c r="F205" s="34"/>
      <c r="G205" s="34">
        <v>606.23</v>
      </c>
      <c r="H205" s="34"/>
      <c r="I205" s="34"/>
      <c r="J205" s="34"/>
      <c r="K205" s="34"/>
      <c r="L205" s="34"/>
      <c r="M205" s="34"/>
      <c r="N205" s="34"/>
      <c r="O205" s="34" cm="1">
        <f t="array" ref="O205">G205</f>
        <v>606.23</v>
      </c>
      <c r="P205" s="34"/>
      <c r="Q205" s="34"/>
      <c r="R205" s="34"/>
      <c r="S205" s="35"/>
      <c r="T205" s="35"/>
      <c r="U205" s="35"/>
      <c r="V205" s="126"/>
      <c r="W205" s="127"/>
      <c r="X205" s="128"/>
      <c r="Y205" s="7"/>
    </row>
    <row r="206" ht="13.55" customHeight="1">
      <c r="A206" s="79"/>
      <c r="B206" s="101">
        <v>45853</v>
      </c>
      <c r="C206" t="s" s="80">
        <v>99</v>
      </c>
      <c r="D206" t="s" s="80">
        <v>290</v>
      </c>
      <c r="E206" s="34"/>
      <c r="F206" s="34"/>
      <c r="G206" s="34">
        <v>97</v>
      </c>
      <c r="H206" s="34"/>
      <c r="I206" s="34"/>
      <c r="J206" s="34"/>
      <c r="K206" s="34"/>
      <c r="L206" s="34"/>
      <c r="M206" s="34"/>
      <c r="N206" s="34"/>
      <c r="O206" s="34"/>
      <c r="P206" s="34" cm="1">
        <f t="array" ref="P206">G206</f>
        <v>97</v>
      </c>
      <c r="Q206" s="34"/>
      <c r="R206" s="34"/>
      <c r="S206" s="35"/>
      <c r="T206" s="35"/>
      <c r="U206" s="35"/>
      <c r="V206" s="126"/>
      <c r="W206" s="127"/>
      <c r="X206" s="128"/>
      <c r="Y206" s="7"/>
    </row>
    <row r="207" ht="13.55" customHeight="1">
      <c r="A207" s="79"/>
      <c r="B207" s="101">
        <v>45853</v>
      </c>
      <c r="C207" t="s" s="80">
        <v>291</v>
      </c>
      <c r="D207" t="s" s="80">
        <v>292</v>
      </c>
      <c r="E207" s="34"/>
      <c r="F207" s="34"/>
      <c r="G207" s="34">
        <v>92800</v>
      </c>
      <c r="H207" s="34"/>
      <c r="I207" t="s" s="80">
        <v>8</v>
      </c>
      <c r="J207" s="34"/>
      <c r="K207" s="34"/>
      <c r="L207" s="34"/>
      <c r="M207" s="34"/>
      <c r="N207" s="34"/>
      <c r="O207" s="34"/>
      <c r="P207" s="34"/>
      <c r="Q207" s="34"/>
      <c r="R207" s="34"/>
      <c r="S207" s="35"/>
      <c r="T207" s="34" cm="1">
        <f t="array" ref="T207">G207</f>
        <v>92800</v>
      </c>
      <c r="U207" s="35"/>
      <c r="V207" s="126"/>
      <c r="W207" s="127"/>
      <c r="X207" s="128"/>
      <c r="Y207" s="7"/>
    </row>
    <row r="208" ht="13.55" customHeight="1">
      <c r="A208" s="79"/>
      <c r="B208" s="101">
        <v>45854</v>
      </c>
      <c r="C208" t="s" s="80">
        <v>197</v>
      </c>
      <c r="D208" t="s" s="80">
        <v>283</v>
      </c>
      <c r="E208" s="34"/>
      <c r="F208" s="34"/>
      <c r="G208" s="34">
        <v>432.49</v>
      </c>
      <c r="H208" s="34"/>
      <c r="I208" s="34"/>
      <c r="J208" s="34"/>
      <c r="K208" s="34"/>
      <c r="L208" s="34"/>
      <c r="M208" s="34"/>
      <c r="N208" s="34"/>
      <c r="O208" s="34" cm="1">
        <f t="array" ref="O208">G208</f>
        <v>432.49</v>
      </c>
      <c r="P208" s="34"/>
      <c r="Q208" s="34"/>
      <c r="R208" s="34"/>
      <c r="S208" s="35"/>
      <c r="T208" s="35"/>
      <c r="U208" s="35"/>
      <c r="V208" s="126"/>
      <c r="W208" s="127"/>
      <c r="X208" s="128"/>
      <c r="Y208" s="7"/>
    </row>
    <row r="209" ht="13.55" customHeight="1">
      <c r="A209" s="79"/>
      <c r="B209" s="101">
        <v>45854</v>
      </c>
      <c r="C209" t="s" s="80">
        <v>99</v>
      </c>
      <c r="D209" t="s" s="80">
        <v>288</v>
      </c>
      <c r="E209" s="34"/>
      <c r="F209" s="34"/>
      <c r="G209" s="34">
        <v>11.6</v>
      </c>
      <c r="H209" s="34"/>
      <c r="I209" s="34"/>
      <c r="J209" s="34"/>
      <c r="K209" s="34"/>
      <c r="L209" s="34"/>
      <c r="M209" s="34"/>
      <c r="N209" s="34"/>
      <c r="O209" s="34"/>
      <c r="P209" s="34" cm="1">
        <f t="array" ref="P209">G209</f>
        <v>11.6</v>
      </c>
      <c r="Q209" s="34"/>
      <c r="R209" s="34"/>
      <c r="S209" s="35"/>
      <c r="T209" s="35"/>
      <c r="U209" s="35"/>
      <c r="V209" s="126"/>
      <c r="W209" s="127"/>
      <c r="X209" s="128"/>
      <c r="Y209" s="7"/>
    </row>
    <row r="210" ht="13.55" customHeight="1">
      <c r="A210" s="79"/>
      <c r="B210" s="101">
        <v>45855</v>
      </c>
      <c r="C210" t="s" s="80">
        <v>99</v>
      </c>
      <c r="D210" t="s" s="80">
        <v>293</v>
      </c>
      <c r="E210" s="34"/>
      <c r="F210" s="34"/>
      <c r="G210" s="34">
        <v>27.84</v>
      </c>
      <c r="H210" s="34"/>
      <c r="I210" s="34"/>
      <c r="J210" s="34"/>
      <c r="K210" s="34"/>
      <c r="L210" s="34"/>
      <c r="M210" s="34"/>
      <c r="N210" s="34"/>
      <c r="O210" s="34" cm="1">
        <f t="array" ref="O210">G210</f>
        <v>27.84</v>
      </c>
      <c r="P210" s="34"/>
      <c r="Q210" s="34"/>
      <c r="R210" s="34"/>
      <c r="S210" s="35"/>
      <c r="T210" s="35"/>
      <c r="U210" s="35"/>
      <c r="V210" s="126"/>
      <c r="W210" s="127"/>
      <c r="X210" s="128"/>
      <c r="Y210" s="7"/>
    </row>
    <row r="211" ht="13.55" customHeight="1">
      <c r="A211" s="79"/>
      <c r="B211" s="101">
        <v>45855</v>
      </c>
      <c r="C211" t="s" s="80">
        <v>99</v>
      </c>
      <c r="D211" t="s" s="80">
        <v>294</v>
      </c>
      <c r="E211" s="34"/>
      <c r="F211" s="34"/>
      <c r="G211" s="34">
        <v>0.01</v>
      </c>
      <c r="H211" s="34"/>
      <c r="I211" s="34"/>
      <c r="J211" s="34"/>
      <c r="K211" s="34"/>
      <c r="L211" s="34"/>
      <c r="M211" s="34"/>
      <c r="N211" s="34"/>
      <c r="O211" s="34"/>
      <c r="P211" s="34" cm="1">
        <f t="array" ref="P211">G211</f>
        <v>0.01</v>
      </c>
      <c r="Q211" s="34"/>
      <c r="R211" s="34"/>
      <c r="S211" s="35"/>
      <c r="T211" s="35"/>
      <c r="U211" s="35"/>
      <c r="V211" s="126"/>
      <c r="W211" s="127"/>
      <c r="X211" s="128"/>
      <c r="Y211" s="7"/>
    </row>
    <row r="212" ht="13.55" customHeight="1">
      <c r="A212" s="79"/>
      <c r="B212" s="101">
        <v>45856</v>
      </c>
      <c r="C212" t="s" s="80">
        <v>291</v>
      </c>
      <c r="D212" t="s" s="80">
        <v>295</v>
      </c>
      <c r="E212" s="34"/>
      <c r="F212" s="34"/>
      <c r="G212" s="34">
        <v>92800</v>
      </c>
      <c r="H212" s="34"/>
      <c r="I212" s="34"/>
      <c r="J212" s="34"/>
      <c r="K212" s="34"/>
      <c r="L212" s="34"/>
      <c r="M212" s="34"/>
      <c r="N212" s="34"/>
      <c r="O212" s="34"/>
      <c r="P212" s="34"/>
      <c r="Q212" s="34"/>
      <c r="R212" s="34"/>
      <c r="S212" s="35"/>
      <c r="T212" s="34" cm="1">
        <f t="array" ref="T212">G212</f>
        <v>92800</v>
      </c>
      <c r="U212" s="35"/>
      <c r="V212" s="126"/>
      <c r="W212" s="127"/>
      <c r="X212" s="128"/>
      <c r="Y212" s="7"/>
    </row>
    <row r="213" ht="13.55" customHeight="1">
      <c r="A213" s="79"/>
      <c r="B213" s="101">
        <v>45859</v>
      </c>
      <c r="C213" t="s" s="80">
        <v>291</v>
      </c>
      <c r="D213" t="s" s="80">
        <v>296</v>
      </c>
      <c r="E213" s="34"/>
      <c r="F213" s="34"/>
      <c r="G213" s="34">
        <v>31842</v>
      </c>
      <c r="H213" s="34"/>
      <c r="I213" s="34"/>
      <c r="J213" s="34"/>
      <c r="K213" s="34"/>
      <c r="L213" s="34"/>
      <c r="M213" s="34"/>
      <c r="N213" s="34"/>
      <c r="O213" s="34"/>
      <c r="P213" s="34"/>
      <c r="Q213" s="34"/>
      <c r="R213" s="34"/>
      <c r="S213" s="35"/>
      <c r="T213" s="34" cm="1">
        <f t="array" ref="T213">G213</f>
        <v>31842</v>
      </c>
      <c r="U213" s="35"/>
      <c r="V213" s="35"/>
      <c r="W213" t="s" s="137">
        <v>8</v>
      </c>
      <c r="X213" s="128"/>
      <c r="Y213" s="7"/>
    </row>
    <row r="214" ht="13.55" customHeight="1">
      <c r="A214" s="79"/>
      <c r="B214" s="101">
        <v>45869</v>
      </c>
      <c r="C214" t="s" s="80">
        <v>297</v>
      </c>
      <c r="D214" t="s" s="80">
        <v>283</v>
      </c>
      <c r="E214" s="34"/>
      <c r="F214" s="34"/>
      <c r="G214" s="34">
        <v>13473.13</v>
      </c>
      <c r="H214" s="34"/>
      <c r="I214" s="34"/>
      <c r="J214" s="34"/>
      <c r="K214" s="34"/>
      <c r="L214" s="34"/>
      <c r="M214" s="34" cm="1">
        <f t="array" ref="M214">G214</f>
        <v>13473.13</v>
      </c>
      <c r="N214" s="34"/>
      <c r="O214" s="34"/>
      <c r="P214" s="34"/>
      <c r="Q214" s="34"/>
      <c r="R214" s="34"/>
      <c r="S214" s="35"/>
      <c r="T214" s="35"/>
      <c r="U214" s="35"/>
      <c r="V214" s="126"/>
      <c r="W214" s="127"/>
      <c r="X214" s="128"/>
      <c r="Y214" s="7"/>
    </row>
    <row r="215" ht="13.55" customHeight="1">
      <c r="A215" s="79"/>
      <c r="B215" s="101">
        <v>45869</v>
      </c>
      <c r="C215" t="s" s="80">
        <v>99</v>
      </c>
      <c r="D215" t="s" s="80">
        <v>288</v>
      </c>
      <c r="E215" s="34"/>
      <c r="F215" s="34"/>
      <c r="G215" s="34">
        <v>11.6</v>
      </c>
      <c r="H215" s="34"/>
      <c r="I215" s="34"/>
      <c r="J215" s="34"/>
      <c r="K215" s="34"/>
      <c r="L215" s="34"/>
      <c r="M215" s="34"/>
      <c r="N215" s="34"/>
      <c r="O215" s="34"/>
      <c r="P215" s="34"/>
      <c r="Q215" s="34"/>
      <c r="R215" s="34"/>
      <c r="S215" s="35"/>
      <c r="T215" s="34" cm="1">
        <f t="array" ref="T215">G215</f>
        <v>11.6</v>
      </c>
      <c r="U215" s="35"/>
      <c r="V215" s="126"/>
      <c r="W215" s="127"/>
      <c r="X215" s="128"/>
      <c r="Y215" s="7"/>
    </row>
    <row r="216" ht="13.55" customHeight="1">
      <c r="A216" s="79"/>
      <c r="B216" s="101">
        <v>45869</v>
      </c>
      <c r="C216" t="s" s="80">
        <v>99</v>
      </c>
      <c r="D216" t="s" s="80">
        <v>241</v>
      </c>
      <c r="E216" s="34"/>
      <c r="F216" s="34"/>
      <c r="G216" s="34">
        <v>400</v>
      </c>
      <c r="H216" s="34"/>
      <c r="I216" s="34"/>
      <c r="J216" s="34"/>
      <c r="K216" s="34"/>
      <c r="L216" s="34"/>
      <c r="M216" s="34"/>
      <c r="N216" s="34"/>
      <c r="O216" s="34">
        <v>400</v>
      </c>
      <c r="P216" s="34"/>
      <c r="Q216" s="34"/>
      <c r="R216" s="34"/>
      <c r="S216" s="35"/>
      <c r="T216" s="34"/>
      <c r="U216" s="35"/>
      <c r="V216" s="35"/>
      <c r="W216" s="136"/>
      <c r="X216" s="128"/>
      <c r="Y216" s="7"/>
    </row>
    <row r="217" ht="13.55" customHeight="1">
      <c r="A217" s="79"/>
      <c r="B217" s="101">
        <v>45869</v>
      </c>
      <c r="C217" t="s" s="80">
        <v>99</v>
      </c>
      <c r="D217" t="s" s="80">
        <v>244</v>
      </c>
      <c r="E217" s="34"/>
      <c r="F217" s="34"/>
      <c r="G217" s="34">
        <v>64</v>
      </c>
      <c r="H217" s="34"/>
      <c r="I217" s="34"/>
      <c r="J217" s="34"/>
      <c r="K217" s="34"/>
      <c r="L217" s="34"/>
      <c r="M217" s="34"/>
      <c r="N217" s="34"/>
      <c r="O217" s="34"/>
      <c r="P217" s="34">
        <v>64</v>
      </c>
      <c r="Q217" s="34"/>
      <c r="R217" s="34"/>
      <c r="S217" s="35"/>
      <c r="T217" s="34"/>
      <c r="U217" s="35"/>
      <c r="V217" s="35"/>
      <c r="W217" s="136"/>
      <c r="X217" s="128"/>
      <c r="Y217" s="7"/>
    </row>
    <row r="218" ht="13.55" customHeight="1">
      <c r="A218" s="79"/>
      <c r="B218" s="101"/>
      <c r="C218" s="35"/>
      <c r="D218" s="35"/>
      <c r="E218" s="35"/>
      <c r="F218" s="35"/>
      <c r="G218" s="34" cm="1">
        <f t="array" ref="G218">SUM(G198:G217)</f>
        <v>346992.14</v>
      </c>
      <c r="H218" s="99" cm="1">
        <f t="array" ref="H218">SUM(H198:H215)</f>
        <v>0</v>
      </c>
      <c r="I218" s="99" cm="1">
        <f t="array" ref="I218">SUM(I198:I215)</f>
        <v>0</v>
      </c>
      <c r="J218" s="99" cm="1">
        <f t="array" ref="J218">SUM(J198:J215)</f>
        <v>0</v>
      </c>
      <c r="K218" s="99" cm="1">
        <f t="array" ref="K218">SUM(K198:K215)</f>
        <v>0</v>
      </c>
      <c r="L218" s="99" cm="1">
        <f t="array" ref="L218">SUM(L198:L215)</f>
        <v>0</v>
      </c>
      <c r="M218" s="99" cm="1">
        <f t="array" ref="M218">SUM(M198:M215)</f>
        <v>26541.83</v>
      </c>
      <c r="N218" s="99" cm="1">
        <f t="array" ref="N218">SUM(N198:N215)</f>
        <v>100000</v>
      </c>
      <c r="O218" s="99" cm="1">
        <f t="array" ref="O218">SUM(O198:O216)</f>
        <v>2626.86</v>
      </c>
      <c r="P218" s="99" cm="1">
        <f t="array" ref="P218">SUM(P198:P217)</f>
        <v>369.85</v>
      </c>
      <c r="Q218" s="99" cm="1">
        <f t="array" ref="Q218">SUM(Q198:Q215)</f>
        <v>0</v>
      </c>
      <c r="R218" s="99" cm="1">
        <f t="array" ref="R218">SUM(R198:R215)</f>
        <v>0</v>
      </c>
      <c r="S218" s="99" cm="1">
        <f t="array" ref="S218">SUM(S198:S215)</f>
        <v>0</v>
      </c>
      <c r="T218" s="99" cm="1">
        <f t="array" ref="T218">SUM(T198:T215)</f>
        <v>217453.6</v>
      </c>
      <c r="U218" s="99" cm="1">
        <f t="array" ref="U218">SUM(U198:U215)</f>
        <v>0</v>
      </c>
      <c r="V218" s="99" cm="1">
        <f t="array" ref="V218">SUM(V198:V215)</f>
        <v>0</v>
      </c>
      <c r="W218" s="133" cm="1">
        <f t="array" ref="W218">SUM(W198:W215)</f>
        <v>0</v>
      </c>
      <c r="X218" s="134" cm="1">
        <f t="array" ref="X218">W218+V218+U218+T218+S218+R218+Q218+P218+O218+N218+M218+L218+K218+J218+I218+H218</f>
        <v>346992.14</v>
      </c>
      <c r="Y218" s="7"/>
    </row>
    <row r="219" ht="18" customHeight="1">
      <c r="A219" s="79"/>
      <c r="B219" t="s" s="125">
        <v>77</v>
      </c>
      <c r="C219" s="87"/>
      <c r="D219" s="88"/>
      <c r="E219" s="113"/>
      <c r="F219" s="113"/>
      <c r="G219" s="34"/>
      <c r="H219" s="34"/>
      <c r="I219" s="34"/>
      <c r="J219" s="34"/>
      <c r="K219" s="34"/>
      <c r="L219" s="34"/>
      <c r="M219" s="34"/>
      <c r="N219" s="34"/>
      <c r="O219" s="34"/>
      <c r="P219" s="34"/>
      <c r="Q219" s="34"/>
      <c r="R219" s="34"/>
      <c r="S219" s="35"/>
      <c r="T219" s="35"/>
      <c r="U219" s="35"/>
      <c r="V219" s="126"/>
      <c r="W219" s="127"/>
      <c r="X219" s="128"/>
      <c r="Y219" s="7"/>
    </row>
    <row r="220" ht="18" customHeight="1">
      <c r="A220" s="79"/>
      <c r="B220" t="s" s="125">
        <v>298</v>
      </c>
      <c r="C220" s="87"/>
      <c r="D220" s="88"/>
      <c r="E220" s="88"/>
      <c r="F220" s="88"/>
      <c r="G220" s="34"/>
      <c r="H220" s="34"/>
      <c r="I220" s="34"/>
      <c r="J220" s="34"/>
      <c r="K220" s="34"/>
      <c r="L220" s="34"/>
      <c r="M220" s="34"/>
      <c r="N220" s="34"/>
      <c r="O220" s="34"/>
      <c r="P220" s="34"/>
      <c r="Q220" s="34"/>
      <c r="R220" s="34"/>
      <c r="S220" s="35"/>
      <c r="T220" s="35"/>
      <c r="U220" s="35"/>
      <c r="V220" s="126"/>
      <c r="W220" s="127"/>
      <c r="X220" s="128"/>
      <c r="Y220" s="7"/>
    </row>
    <row r="221" ht="16.5" customHeight="1">
      <c r="A221" s="79"/>
      <c r="B221" s="131"/>
      <c r="C221" s="89"/>
      <c r="D221" t="s" s="90">
        <v>78</v>
      </c>
      <c r="E221" t="s" s="90">
        <v>8</v>
      </c>
      <c r="F221" t="s" s="90">
        <v>8</v>
      </c>
      <c r="G221" t="s" s="90">
        <v>8</v>
      </c>
      <c r="H221" s="34"/>
      <c r="I221" s="34"/>
      <c r="J221" s="34"/>
      <c r="K221" s="34"/>
      <c r="L221" s="34"/>
      <c r="M221" s="34"/>
      <c r="N221" s="34"/>
      <c r="O221" s="34"/>
      <c r="P221" s="34"/>
      <c r="Q221" s="34"/>
      <c r="R221" s="34"/>
      <c r="S221" s="35"/>
      <c r="T221" s="35"/>
      <c r="U221" s="35"/>
      <c r="V221" s="126"/>
      <c r="W221" s="127"/>
      <c r="X221" s="128"/>
      <c r="Y221" s="7"/>
    </row>
    <row r="222" ht="16.5" customHeight="1">
      <c r="A222" s="79"/>
      <c r="B222" t="s" s="132">
        <v>79</v>
      </c>
      <c r="C222" t="s" s="90">
        <v>54</v>
      </c>
      <c r="D222" s="114">
        <v>12061001385</v>
      </c>
      <c r="E222" t="s" s="90">
        <v>8</v>
      </c>
      <c r="F222" t="s" s="90">
        <v>8</v>
      </c>
      <c r="G222" t="s" s="90">
        <v>52</v>
      </c>
      <c r="H222" s="34"/>
      <c r="I222" s="34"/>
      <c r="J222" s="34"/>
      <c r="K222" s="34"/>
      <c r="L222" s="34"/>
      <c r="M222" s="34"/>
      <c r="N222" s="34"/>
      <c r="O222" s="34"/>
      <c r="P222" s="34"/>
      <c r="Q222" s="34"/>
      <c r="R222" s="34"/>
      <c r="S222" s="35"/>
      <c r="T222" s="35"/>
      <c r="U222" s="35"/>
      <c r="V222" s="126"/>
      <c r="W222" s="127"/>
      <c r="X222" s="128"/>
      <c r="Y222" s="7"/>
    </row>
    <row r="223" ht="16.5" customHeight="1">
      <c r="A223" s="79"/>
      <c r="B223" t="s" s="132">
        <v>8</v>
      </c>
      <c r="C223" t="s" s="94">
        <v>58</v>
      </c>
      <c r="D223" t="s" s="95">
        <v>8</v>
      </c>
      <c r="E223" s="89"/>
      <c r="F223" s="89"/>
      <c r="G223" s="89"/>
      <c r="H223" s="34"/>
      <c r="I223" s="34"/>
      <c r="J223" s="34"/>
      <c r="K223" s="34"/>
      <c r="L223" s="34"/>
      <c r="M223" s="34"/>
      <c r="N223" s="34"/>
      <c r="O223" s="34"/>
      <c r="P223" s="34"/>
      <c r="Q223" s="34"/>
      <c r="R223" s="34"/>
      <c r="S223" s="35"/>
      <c r="T223" s="35"/>
      <c r="U223" s="35"/>
      <c r="V223" s="126"/>
      <c r="W223" s="127"/>
      <c r="X223" s="128"/>
      <c r="Y223" s="7"/>
    </row>
    <row r="224" ht="13.55" customHeight="1">
      <c r="A224" s="79"/>
      <c r="B224" s="101">
        <v>45880</v>
      </c>
      <c r="C224" t="s" s="80">
        <v>299</v>
      </c>
      <c r="D224" t="s" s="80">
        <v>300</v>
      </c>
      <c r="E224" s="34"/>
      <c r="F224" s="34"/>
      <c r="G224" s="34">
        <v>10178.42</v>
      </c>
      <c r="H224" s="34"/>
      <c r="I224" s="34"/>
      <c r="J224" s="34"/>
      <c r="K224" s="34"/>
      <c r="L224" s="34"/>
      <c r="M224" s="34"/>
      <c r="N224" s="34"/>
      <c r="O224" s="34"/>
      <c r="P224" s="34"/>
      <c r="Q224" s="34"/>
      <c r="R224" s="34"/>
      <c r="S224" s="35"/>
      <c r="T224" s="35"/>
      <c r="U224" s="99" cm="1">
        <f t="array" ref="U224">G224</f>
        <v>10178.42</v>
      </c>
      <c r="V224" s="133" cm="1">
        <f t="array" ref="V224">H224</f>
        <v>0</v>
      </c>
      <c r="W224" s="127"/>
      <c r="X224" s="128"/>
      <c r="Y224" s="7"/>
    </row>
    <row r="225" ht="13.55" customHeight="1">
      <c r="A225" s="79"/>
      <c r="B225" s="101">
        <v>45883</v>
      </c>
      <c r="C225" t="s" s="80">
        <v>301</v>
      </c>
      <c r="D225" t="s" s="80">
        <v>283</v>
      </c>
      <c r="E225" s="34"/>
      <c r="F225" s="34"/>
      <c r="G225" s="34">
        <v>13502.08</v>
      </c>
      <c r="H225" s="34"/>
      <c r="I225" s="34"/>
      <c r="J225" s="34"/>
      <c r="K225" s="34"/>
      <c r="L225" s="34"/>
      <c r="M225" s="34" cm="1">
        <f t="array" ref="M225">G225</f>
        <v>13502.08</v>
      </c>
      <c r="N225" s="34"/>
      <c r="O225" s="34"/>
      <c r="P225" s="34"/>
      <c r="Q225" s="34"/>
      <c r="R225" s="34"/>
      <c r="S225" s="35"/>
      <c r="T225" s="35"/>
      <c r="U225" s="35"/>
      <c r="V225" s="126"/>
      <c r="W225" s="127"/>
      <c r="X225" s="128"/>
      <c r="Y225" s="7"/>
    </row>
    <row r="226" ht="13.55" customHeight="1">
      <c r="A226" s="79"/>
      <c r="B226" s="101">
        <v>45883</v>
      </c>
      <c r="C226" t="s" s="80">
        <v>99</v>
      </c>
      <c r="D226" t="s" s="80">
        <v>302</v>
      </c>
      <c r="E226" s="34"/>
      <c r="F226" s="34"/>
      <c r="G226" s="34">
        <v>11.6</v>
      </c>
      <c r="H226" s="34"/>
      <c r="I226" s="34"/>
      <c r="J226" s="34"/>
      <c r="K226" s="34"/>
      <c r="L226" s="34"/>
      <c r="M226" s="34"/>
      <c r="N226" s="34"/>
      <c r="O226" s="34" cm="1">
        <f t="array" ref="O226">G226</f>
        <v>11.6</v>
      </c>
      <c r="P226" s="34"/>
      <c r="Q226" s="34"/>
      <c r="R226" s="34"/>
      <c r="S226" s="35"/>
      <c r="T226" s="35"/>
      <c r="U226" s="35"/>
      <c r="V226" s="126"/>
      <c r="W226" s="127"/>
      <c r="X226" s="128"/>
      <c r="Y226" s="7"/>
    </row>
    <row r="227" ht="13.55" customHeight="1">
      <c r="A227" s="79"/>
      <c r="B227" s="101">
        <v>45884</v>
      </c>
      <c r="C227" t="s" s="80">
        <v>99</v>
      </c>
      <c r="D227" t="s" s="80">
        <v>303</v>
      </c>
      <c r="E227" s="34"/>
      <c r="F227" s="34"/>
      <c r="G227" s="34">
        <v>1165.8</v>
      </c>
      <c r="H227" s="34"/>
      <c r="I227" s="34"/>
      <c r="J227" s="34"/>
      <c r="K227" s="34"/>
      <c r="L227" s="34"/>
      <c r="M227" s="34"/>
      <c r="N227" s="34"/>
      <c r="O227" s="34" cm="1">
        <f t="array" ref="O227">G227</f>
        <v>1165.8</v>
      </c>
      <c r="P227" s="34"/>
      <c r="Q227" s="34"/>
      <c r="R227" s="34"/>
      <c r="S227" s="35"/>
      <c r="T227" s="35"/>
      <c r="U227" s="35"/>
      <c r="V227" s="126"/>
      <c r="W227" s="127"/>
      <c r="X227" s="128"/>
      <c r="Y227" s="7"/>
    </row>
    <row r="228" ht="13.55" customHeight="1">
      <c r="A228" s="79"/>
      <c r="B228" s="101">
        <v>45884</v>
      </c>
      <c r="C228" t="s" s="80">
        <v>99</v>
      </c>
      <c r="D228" t="s" s="80">
        <v>304</v>
      </c>
      <c r="E228" s="34"/>
      <c r="F228" s="34"/>
      <c r="G228" s="34">
        <v>169.7</v>
      </c>
      <c r="H228" s="34"/>
      <c r="I228" s="34"/>
      <c r="J228" s="34"/>
      <c r="K228" s="34"/>
      <c r="L228" s="34"/>
      <c r="M228" s="34"/>
      <c r="N228" s="34"/>
      <c r="O228" s="34"/>
      <c r="P228" s="34" cm="1">
        <f t="array" ref="P228">G228</f>
        <v>169.7</v>
      </c>
      <c r="Q228" s="34"/>
      <c r="R228" s="34"/>
      <c r="S228" s="35"/>
      <c r="T228" s="35"/>
      <c r="U228" s="35"/>
      <c r="V228" s="126"/>
      <c r="W228" s="127"/>
      <c r="X228" s="128"/>
      <c r="Y228" s="7"/>
    </row>
    <row r="229" ht="13.55" customHeight="1">
      <c r="A229" s="79"/>
      <c r="B229" s="101">
        <v>45884</v>
      </c>
      <c r="C229" t="s" s="80">
        <v>99</v>
      </c>
      <c r="D229" t="s" s="80">
        <v>305</v>
      </c>
      <c r="E229" s="34"/>
      <c r="F229" s="34"/>
      <c r="G229" s="34">
        <v>669.01</v>
      </c>
      <c r="H229" s="34"/>
      <c r="I229" s="34"/>
      <c r="J229" s="34"/>
      <c r="K229" s="34"/>
      <c r="L229" s="34"/>
      <c r="M229" s="34"/>
      <c r="N229" s="34"/>
      <c r="O229" s="34" cm="1">
        <f t="array" ref="O229">G229</f>
        <v>669.01</v>
      </c>
      <c r="P229" s="34"/>
      <c r="Q229" s="34"/>
      <c r="R229" s="34"/>
      <c r="S229" s="35"/>
      <c r="T229" s="35"/>
      <c r="U229" s="35"/>
      <c r="V229" s="126"/>
      <c r="W229" s="127"/>
      <c r="X229" s="128"/>
      <c r="Y229" s="7"/>
    </row>
    <row r="230" ht="13.55" customHeight="1">
      <c r="A230" s="79"/>
      <c r="B230" s="101">
        <v>45884</v>
      </c>
      <c r="C230" t="s" s="80">
        <v>306</v>
      </c>
      <c r="D230" t="s" s="80">
        <v>307</v>
      </c>
      <c r="E230" s="34"/>
      <c r="F230" s="34"/>
      <c r="G230" s="34">
        <v>15057.03</v>
      </c>
      <c r="H230" s="34"/>
      <c r="I230" s="34"/>
      <c r="J230" s="34"/>
      <c r="K230" s="34"/>
      <c r="L230" s="34"/>
      <c r="M230" s="34"/>
      <c r="N230" s="34"/>
      <c r="O230" s="34"/>
      <c r="P230" s="34"/>
      <c r="Q230" s="34"/>
      <c r="R230" s="34"/>
      <c r="S230" s="35"/>
      <c r="T230" s="34" cm="1">
        <f t="array" ref="T230">G230</f>
        <v>15057.03</v>
      </c>
      <c r="U230" s="35"/>
      <c r="V230" s="126"/>
      <c r="W230" s="127"/>
      <c r="X230" s="128"/>
      <c r="Y230" s="7"/>
    </row>
    <row r="231" ht="13.55" customHeight="1">
      <c r="A231" s="79"/>
      <c r="B231" s="101">
        <v>45887</v>
      </c>
      <c r="C231" t="s" s="80">
        <v>308</v>
      </c>
      <c r="D231" t="s" s="80">
        <v>309</v>
      </c>
      <c r="E231" s="34"/>
      <c r="F231" s="34"/>
      <c r="G231" s="34">
        <v>10178.42</v>
      </c>
      <c r="H231" s="34"/>
      <c r="I231" s="34"/>
      <c r="J231" s="34"/>
      <c r="K231" s="34"/>
      <c r="L231" s="34"/>
      <c r="M231" s="34"/>
      <c r="N231" s="34"/>
      <c r="O231" s="34"/>
      <c r="P231" s="34"/>
      <c r="Q231" s="34"/>
      <c r="R231" s="34"/>
      <c r="S231" s="35"/>
      <c r="T231" s="35"/>
      <c r="U231" s="99" cm="1">
        <f t="array" ref="U231">G231</f>
        <v>10178.42</v>
      </c>
      <c r="V231" s="133" cm="1">
        <f t="array" ref="V231">H231</f>
        <v>0</v>
      </c>
      <c r="W231" s="127"/>
      <c r="X231" s="128"/>
      <c r="Y231" s="7"/>
    </row>
    <row r="232" ht="13.55" customHeight="1">
      <c r="A232" s="79"/>
      <c r="B232" s="101">
        <v>45888</v>
      </c>
      <c r="C232" t="s" s="80">
        <v>308</v>
      </c>
      <c r="D232" t="s" s="80">
        <v>309</v>
      </c>
      <c r="E232" s="34"/>
      <c r="F232" s="34"/>
      <c r="G232" s="34">
        <v>10178.42</v>
      </c>
      <c r="H232" s="34"/>
      <c r="I232" s="34"/>
      <c r="J232" s="34"/>
      <c r="K232" s="34"/>
      <c r="L232" s="34"/>
      <c r="M232" s="34"/>
      <c r="N232" s="34"/>
      <c r="O232" s="34"/>
      <c r="P232" s="34"/>
      <c r="Q232" s="34"/>
      <c r="R232" s="34"/>
      <c r="S232" s="35"/>
      <c r="T232" s="35"/>
      <c r="U232" s="34" cm="1">
        <f t="array" ref="U232">G232</f>
        <v>10178.42</v>
      </c>
      <c r="V232" s="138" cm="1">
        <f t="array" ref="V232">H232</f>
        <v>0</v>
      </c>
      <c r="W232" s="127"/>
      <c r="X232" s="128"/>
      <c r="Y232" s="7"/>
    </row>
    <row r="233" ht="13.55" customHeight="1">
      <c r="A233" s="79"/>
      <c r="B233" s="101">
        <v>45891</v>
      </c>
      <c r="C233" t="s" s="80">
        <v>310</v>
      </c>
      <c r="D233" t="s" s="80">
        <v>311</v>
      </c>
      <c r="E233" s="34"/>
      <c r="F233" s="34"/>
      <c r="G233" s="34">
        <v>12298</v>
      </c>
      <c r="H233" s="34"/>
      <c r="I233" s="34"/>
      <c r="J233" s="34"/>
      <c r="K233" s="34"/>
      <c r="L233" s="34"/>
      <c r="M233" s="34"/>
      <c r="N233" s="34"/>
      <c r="O233" s="34"/>
      <c r="P233" s="34"/>
      <c r="Q233" s="34"/>
      <c r="R233" s="34"/>
      <c r="S233" s="35"/>
      <c r="T233" s="34" cm="1">
        <f t="array" ref="T233">G233</f>
        <v>12298</v>
      </c>
      <c r="U233" s="35"/>
      <c r="V233" s="126"/>
      <c r="W233" s="127"/>
      <c r="X233" s="128"/>
      <c r="Y233" s="7"/>
    </row>
    <row r="234" ht="13.55" customHeight="1">
      <c r="A234" s="79"/>
      <c r="B234" s="101">
        <v>45891</v>
      </c>
      <c r="C234" t="s" s="80">
        <v>312</v>
      </c>
      <c r="D234" t="s" s="80">
        <v>313</v>
      </c>
      <c r="E234" s="34"/>
      <c r="F234" s="34"/>
      <c r="G234" s="34">
        <v>7656</v>
      </c>
      <c r="H234" s="34"/>
      <c r="I234" s="34"/>
      <c r="J234" s="34"/>
      <c r="K234" s="34"/>
      <c r="L234" s="34"/>
      <c r="M234" s="34"/>
      <c r="N234" s="34"/>
      <c r="O234" s="34"/>
      <c r="P234" s="34"/>
      <c r="Q234" s="34"/>
      <c r="R234" s="34"/>
      <c r="S234" s="35"/>
      <c r="T234" s="34" cm="1">
        <f t="array" ref="T234">G234</f>
        <v>7656</v>
      </c>
      <c r="U234" s="35"/>
      <c r="V234" s="126"/>
      <c r="W234" s="127"/>
      <c r="X234" s="128"/>
      <c r="Y234" s="7"/>
    </row>
    <row r="235" ht="13.55" customHeight="1">
      <c r="A235" s="79"/>
      <c r="B235" s="101">
        <v>45894</v>
      </c>
      <c r="C235" t="s" s="80">
        <v>99</v>
      </c>
      <c r="D235" t="s" s="80">
        <v>314</v>
      </c>
      <c r="E235" s="34"/>
      <c r="F235" s="34"/>
      <c r="G235" s="34">
        <v>11.6</v>
      </c>
      <c r="H235" s="34"/>
      <c r="I235" s="34"/>
      <c r="J235" s="34"/>
      <c r="K235" s="34"/>
      <c r="L235" s="34"/>
      <c r="M235" s="34"/>
      <c r="N235" s="34"/>
      <c r="O235" s="34" cm="1">
        <f t="array" ref="O235">G235</f>
        <v>11.6</v>
      </c>
      <c r="P235" s="34"/>
      <c r="Q235" s="34"/>
      <c r="R235" s="34"/>
      <c r="S235" s="35"/>
      <c r="T235" s="35"/>
      <c r="U235" s="35"/>
      <c r="V235" s="126"/>
      <c r="W235" s="127"/>
      <c r="X235" s="128"/>
      <c r="Y235" s="7"/>
    </row>
    <row r="236" ht="13.55" customHeight="1">
      <c r="A236" s="79"/>
      <c r="B236" s="101">
        <v>45894</v>
      </c>
      <c r="C236" t="s" s="80">
        <v>99</v>
      </c>
      <c r="D236" t="s" s="80">
        <v>304</v>
      </c>
      <c r="E236" s="34"/>
      <c r="F236" s="34"/>
      <c r="G236" s="34">
        <v>11.02</v>
      </c>
      <c r="H236" s="34"/>
      <c r="I236" s="34"/>
      <c r="J236" s="34"/>
      <c r="K236" s="34"/>
      <c r="L236" s="34"/>
      <c r="M236" s="34"/>
      <c r="N236" s="34"/>
      <c r="O236" s="34" cm="1">
        <f t="array" ref="O236">G236</f>
        <v>11.02</v>
      </c>
      <c r="P236" s="34"/>
      <c r="Q236" s="34"/>
      <c r="R236" s="34"/>
      <c r="S236" s="35"/>
      <c r="T236" s="35"/>
      <c r="U236" s="35"/>
      <c r="V236" s="126"/>
      <c r="W236" s="127"/>
      <c r="X236" s="128"/>
      <c r="Y236" s="7"/>
    </row>
    <row r="237" ht="13.55" customHeight="1">
      <c r="A237" s="79"/>
      <c r="B237" s="101">
        <v>45898</v>
      </c>
      <c r="C237" t="s" s="80">
        <v>99</v>
      </c>
      <c r="D237" t="s" s="80">
        <v>315</v>
      </c>
      <c r="E237" s="34"/>
      <c r="F237" s="34"/>
      <c r="G237" s="34">
        <v>464</v>
      </c>
      <c r="H237" s="34"/>
      <c r="I237" s="34"/>
      <c r="J237" s="34"/>
      <c r="K237" s="34"/>
      <c r="L237" s="34"/>
      <c r="M237" s="34"/>
      <c r="N237" s="34"/>
      <c r="O237" s="34" cm="1">
        <f t="array" ref="O237">G237</f>
        <v>464</v>
      </c>
      <c r="P237" s="34"/>
      <c r="Q237" s="34"/>
      <c r="R237" s="34"/>
      <c r="S237" s="35"/>
      <c r="T237" s="35"/>
      <c r="U237" s="35"/>
      <c r="V237" s="126"/>
      <c r="W237" s="127"/>
      <c r="X237" s="128"/>
      <c r="Y237" s="7"/>
    </row>
    <row r="238" ht="13.55" customHeight="1">
      <c r="A238" s="79"/>
      <c r="B238" s="101">
        <v>45898</v>
      </c>
      <c r="C238" t="s" s="80">
        <v>301</v>
      </c>
      <c r="D238" t="s" s="80">
        <v>269</v>
      </c>
      <c r="E238" s="34"/>
      <c r="F238" s="34"/>
      <c r="G238" s="34">
        <v>13473.13</v>
      </c>
      <c r="H238" s="34"/>
      <c r="I238" s="34"/>
      <c r="J238" s="34"/>
      <c r="K238" s="34"/>
      <c r="L238" s="34"/>
      <c r="M238" s="34" cm="1">
        <f t="array" ref="M238">G238</f>
        <v>13473.13</v>
      </c>
      <c r="N238" s="34"/>
      <c r="O238" s="34"/>
      <c r="P238" s="34"/>
      <c r="Q238" s="34"/>
      <c r="R238" s="34"/>
      <c r="S238" s="35"/>
      <c r="T238" s="35"/>
      <c r="U238" s="35"/>
      <c r="V238" s="126"/>
      <c r="W238" s="127"/>
      <c r="X238" s="128"/>
      <c r="Y238" s="7"/>
    </row>
    <row r="239" ht="13.55" customHeight="1">
      <c r="A239" s="79"/>
      <c r="B239" s="101">
        <v>45898</v>
      </c>
      <c r="C239" t="s" s="80">
        <v>99</v>
      </c>
      <c r="D239" t="s" s="80">
        <v>288</v>
      </c>
      <c r="E239" s="34"/>
      <c r="F239" s="34"/>
      <c r="G239" s="34">
        <v>11.6</v>
      </c>
      <c r="H239" s="34"/>
      <c r="I239" s="34"/>
      <c r="J239" s="34"/>
      <c r="K239" s="34"/>
      <c r="L239" s="34"/>
      <c r="M239" s="34"/>
      <c r="N239" s="34"/>
      <c r="O239" s="34" cm="1">
        <f t="array" ref="O239">G239</f>
        <v>11.6</v>
      </c>
      <c r="P239" s="34"/>
      <c r="Q239" s="34"/>
      <c r="R239" s="34"/>
      <c r="S239" s="35"/>
      <c r="T239" s="35"/>
      <c r="U239" s="35"/>
      <c r="V239" s="126"/>
      <c r="W239" s="127"/>
      <c r="X239" s="128"/>
      <c r="Y239" s="7"/>
    </row>
    <row r="240" ht="13.55" customHeight="1">
      <c r="A240" s="79"/>
      <c r="B240" t="s" s="80">
        <v>8</v>
      </c>
      <c r="C240" t="s" s="80">
        <v>8</v>
      </c>
      <c r="D240" t="s" s="80">
        <v>8</v>
      </c>
      <c r="E240" s="34"/>
      <c r="F240" s="34"/>
      <c r="G240" t="s" s="80">
        <v>8</v>
      </c>
      <c r="H240" s="34"/>
      <c r="I240" s="34"/>
      <c r="J240" s="34"/>
      <c r="K240" s="34"/>
      <c r="L240" s="34"/>
      <c r="M240" s="34"/>
      <c r="N240" s="34"/>
      <c r="O240" s="34"/>
      <c r="P240" s="34"/>
      <c r="Q240" s="34"/>
      <c r="R240" s="34"/>
      <c r="S240" s="35"/>
      <c r="T240" s="35"/>
      <c r="U240" s="35"/>
      <c r="V240" s="126"/>
      <c r="W240" s="127"/>
      <c r="X240" s="128"/>
      <c r="Y240" s="7"/>
    </row>
    <row r="241" ht="13.55" customHeight="1">
      <c r="A241" s="79"/>
      <c r="B241" t="s" s="80">
        <v>8</v>
      </c>
      <c r="C241" t="s" s="80">
        <v>8</v>
      </c>
      <c r="D241" t="s" s="80">
        <v>8</v>
      </c>
      <c r="E241" s="34"/>
      <c r="F241" s="34"/>
      <c r="G241" t="s" s="80">
        <v>8</v>
      </c>
      <c r="H241" s="34"/>
      <c r="I241" s="34"/>
      <c r="J241" s="34"/>
      <c r="K241" s="34"/>
      <c r="L241" s="34"/>
      <c r="M241" s="34"/>
      <c r="N241" s="34"/>
      <c r="O241" s="34"/>
      <c r="P241" s="34"/>
      <c r="Q241" s="34"/>
      <c r="R241" s="34"/>
      <c r="S241" s="35"/>
      <c r="T241" s="35"/>
      <c r="U241" s="35"/>
      <c r="V241" s="126"/>
      <c r="W241" s="127"/>
      <c r="X241" s="128"/>
      <c r="Y241" s="7"/>
    </row>
    <row r="242" ht="13.55" customHeight="1">
      <c r="A242" s="79"/>
      <c r="B242" s="35"/>
      <c r="C242" s="35"/>
      <c r="D242" s="35"/>
      <c r="E242" s="35"/>
      <c r="F242" s="35"/>
      <c r="G242" s="34" cm="1">
        <f t="array" ref="G242">SUM(G224:G241)</f>
        <v>95035.83</v>
      </c>
      <c r="H242" s="99" cm="1">
        <f t="array" ref="H242">SUM(H224:H241)</f>
        <v>0</v>
      </c>
      <c r="I242" s="99" cm="1">
        <f t="array" ref="I242">SUM(I224:I241)</f>
        <v>0</v>
      </c>
      <c r="J242" s="99" cm="1">
        <f t="array" ref="J242">SUM(J224:J241)</f>
        <v>0</v>
      </c>
      <c r="K242" s="99" cm="1">
        <f t="array" ref="K242">SUM(K224:K241)</f>
        <v>0</v>
      </c>
      <c r="L242" s="99" cm="1">
        <f t="array" ref="L242">SUM(L224:L241)</f>
        <v>0</v>
      </c>
      <c r="M242" s="99" cm="1">
        <f t="array" ref="M242">SUM(M224:M241)</f>
        <v>26975.21</v>
      </c>
      <c r="N242" s="99" cm="1">
        <f t="array" ref="N242">SUM(N224:N241)</f>
        <v>0</v>
      </c>
      <c r="O242" s="99" cm="1">
        <f t="array" ref="O242">SUM(O224:O241)</f>
        <v>2344.63</v>
      </c>
      <c r="P242" s="99" cm="1">
        <f t="array" ref="P242">SUM(P224:P241)</f>
        <v>169.7</v>
      </c>
      <c r="Q242" s="99" cm="1">
        <f t="array" ref="Q242">SUM(Q224:Q241)</f>
        <v>0</v>
      </c>
      <c r="R242" s="99" cm="1">
        <f t="array" ref="R242">SUM(R224:R241)</f>
        <v>0</v>
      </c>
      <c r="S242" s="99" cm="1">
        <f t="array" ref="S242">SUM(S224:S241)</f>
        <v>0</v>
      </c>
      <c r="T242" s="99" cm="1">
        <f t="array" ref="T242">SUM(T224:T241)</f>
        <v>35011.03</v>
      </c>
      <c r="U242" s="99" cm="1">
        <f t="array" ref="U242">SUM(U224:U241)</f>
        <v>30535.26</v>
      </c>
      <c r="V242" s="99" cm="1">
        <f t="array" ref="V242">SUM(V224:V241)</f>
        <v>0</v>
      </c>
      <c r="W242" s="133" cm="1">
        <f t="array" ref="W242">SUM(W224:W241)</f>
        <v>0</v>
      </c>
      <c r="X242" s="134" cm="1">
        <f t="array" ref="X242">H242+I242+J242+K242+L242+M242+N242+O242+P242+Q242+R242+S242+T242+U242+V242+W242</f>
        <v>95035.83</v>
      </c>
      <c r="Y242" s="7"/>
    </row>
    <row r="243" ht="18" customHeight="1">
      <c r="A243" s="79"/>
      <c r="B243" t="s" s="125">
        <v>77</v>
      </c>
      <c r="C243" s="87"/>
      <c r="D243" s="88"/>
      <c r="E243" s="113"/>
      <c r="F243" s="113"/>
      <c r="G243" s="34"/>
      <c r="H243" t="s" s="80">
        <v>8</v>
      </c>
      <c r="I243" t="s" s="80">
        <v>8</v>
      </c>
      <c r="J243" t="s" s="80">
        <v>8</v>
      </c>
      <c r="K243" t="s" s="80">
        <v>8</v>
      </c>
      <c r="L243" t="s" s="80">
        <v>8</v>
      </c>
      <c r="M243" t="s" s="80">
        <v>8</v>
      </c>
      <c r="N243" t="s" s="80">
        <v>8</v>
      </c>
      <c r="O243" t="s" s="80">
        <v>8</v>
      </c>
      <c r="P243" t="s" s="80">
        <v>8</v>
      </c>
      <c r="Q243" t="s" s="80">
        <v>8</v>
      </c>
      <c r="R243" t="s" s="80">
        <v>8</v>
      </c>
      <c r="S243" t="s" s="80">
        <v>8</v>
      </c>
      <c r="T243" t="s" s="80">
        <v>8</v>
      </c>
      <c r="U243" t="s" s="80">
        <v>8</v>
      </c>
      <c r="V243" t="s" s="139">
        <v>8</v>
      </c>
      <c r="W243" s="127"/>
      <c r="X243" s="128"/>
      <c r="Y243" s="7"/>
    </row>
    <row r="244" ht="18" customHeight="1">
      <c r="A244" s="79"/>
      <c r="B244" t="s" s="125">
        <v>316</v>
      </c>
      <c r="C244" s="87"/>
      <c r="D244" s="88"/>
      <c r="E244" s="88"/>
      <c r="F244" s="88"/>
      <c r="G244" s="34"/>
      <c r="H244" s="34"/>
      <c r="I244" s="34"/>
      <c r="J244" s="34"/>
      <c r="K244" s="34"/>
      <c r="L244" s="34"/>
      <c r="M244" s="34"/>
      <c r="N244" s="34"/>
      <c r="O244" s="34"/>
      <c r="P244" s="34"/>
      <c r="Q244" s="34"/>
      <c r="R244" s="34"/>
      <c r="S244" s="35"/>
      <c r="T244" s="35"/>
      <c r="U244" s="35"/>
      <c r="V244" s="126"/>
      <c r="W244" s="127"/>
      <c r="X244" s="128"/>
      <c r="Y244" s="7"/>
    </row>
    <row r="245" ht="16.5" customHeight="1">
      <c r="A245" s="79"/>
      <c r="B245" s="131"/>
      <c r="C245" s="89"/>
      <c r="D245" t="s" s="90">
        <v>78</v>
      </c>
      <c r="E245" t="s" s="90">
        <v>8</v>
      </c>
      <c r="F245" t="s" s="90">
        <v>8</v>
      </c>
      <c r="G245" t="s" s="90">
        <v>8</v>
      </c>
      <c r="H245" s="34"/>
      <c r="I245" s="34"/>
      <c r="J245" s="34"/>
      <c r="K245" s="34"/>
      <c r="L245" s="34"/>
      <c r="M245" s="34"/>
      <c r="N245" s="34"/>
      <c r="O245" s="34"/>
      <c r="P245" s="34"/>
      <c r="Q245" s="34"/>
      <c r="R245" s="34"/>
      <c r="S245" s="35"/>
      <c r="T245" s="35"/>
      <c r="U245" s="35"/>
      <c r="V245" s="126"/>
      <c r="W245" s="127"/>
      <c r="X245" s="128"/>
      <c r="Y245" s="7"/>
    </row>
    <row r="246" ht="16.5" customHeight="1">
      <c r="A246" s="79"/>
      <c r="B246" t="s" s="132">
        <v>79</v>
      </c>
      <c r="C246" t="s" s="90">
        <v>54</v>
      </c>
      <c r="D246" s="114">
        <v>12061001385</v>
      </c>
      <c r="E246" t="s" s="90">
        <v>8</v>
      </c>
      <c r="F246" t="s" s="90">
        <v>8</v>
      </c>
      <c r="G246" t="s" s="90">
        <v>52</v>
      </c>
      <c r="H246" s="34"/>
      <c r="I246" s="34"/>
      <c r="J246" s="34"/>
      <c r="K246" s="34"/>
      <c r="L246" s="34"/>
      <c r="M246" s="34"/>
      <c r="N246" s="34"/>
      <c r="O246" s="34"/>
      <c r="P246" s="34"/>
      <c r="Q246" s="34"/>
      <c r="R246" s="34"/>
      <c r="S246" s="35"/>
      <c r="T246" s="35"/>
      <c r="U246" s="35"/>
      <c r="V246" s="126"/>
      <c r="W246" s="127"/>
      <c r="X246" s="128"/>
      <c r="Y246" s="7"/>
    </row>
    <row r="247" ht="16.5" customHeight="1">
      <c r="A247" s="79"/>
      <c r="B247" t="s" s="132">
        <v>8</v>
      </c>
      <c r="C247" t="s" s="94">
        <v>58</v>
      </c>
      <c r="D247" t="s" s="95">
        <v>8</v>
      </c>
      <c r="E247" s="89"/>
      <c r="F247" s="89"/>
      <c r="G247" s="89"/>
      <c r="H247" s="34"/>
      <c r="I247" s="34"/>
      <c r="J247" s="34"/>
      <c r="K247" s="34"/>
      <c r="L247" s="34"/>
      <c r="M247" s="34"/>
      <c r="N247" s="34"/>
      <c r="O247" s="34"/>
      <c r="P247" s="34"/>
      <c r="Q247" s="34"/>
      <c r="R247" s="34"/>
      <c r="S247" s="35"/>
      <c r="T247" s="35"/>
      <c r="U247" s="35"/>
      <c r="V247" s="126"/>
      <c r="W247" s="127"/>
      <c r="X247" s="128"/>
      <c r="Y247" s="7"/>
    </row>
    <row r="248" ht="13.55" customHeight="1">
      <c r="A248" s="79"/>
      <c r="B248" s="101">
        <v>45908</v>
      </c>
      <c r="C248" t="s" s="80">
        <v>317</v>
      </c>
      <c r="D248" t="s" s="80">
        <v>318</v>
      </c>
      <c r="E248" s="34"/>
      <c r="F248" s="34"/>
      <c r="G248" s="34">
        <v>20880</v>
      </c>
      <c r="H248" s="34"/>
      <c r="I248" s="34"/>
      <c r="J248" s="34"/>
      <c r="K248" s="34"/>
      <c r="L248" s="34"/>
      <c r="M248" s="34"/>
      <c r="N248" s="34"/>
      <c r="O248" s="34"/>
      <c r="P248" s="34"/>
      <c r="Q248" s="34"/>
      <c r="R248" s="34"/>
      <c r="S248" s="35"/>
      <c r="T248" s="35"/>
      <c r="U248" s="35"/>
      <c r="V248" s="138" cm="1">
        <f t="array" ref="V248">G248</f>
        <v>20880</v>
      </c>
      <c r="W248" s="127"/>
      <c r="X248" s="128"/>
      <c r="Y248" s="7"/>
    </row>
    <row r="249" ht="13.55" customHeight="1">
      <c r="A249" s="79"/>
      <c r="B249" s="101">
        <v>45909</v>
      </c>
      <c r="C249" t="s" s="80">
        <v>319</v>
      </c>
      <c r="D249" t="s" s="80">
        <v>320</v>
      </c>
      <c r="E249" s="34"/>
      <c r="F249" s="34"/>
      <c r="G249" s="34">
        <v>196245.55</v>
      </c>
      <c r="H249" s="34"/>
      <c r="I249" s="34"/>
      <c r="J249" s="34"/>
      <c r="K249" s="34"/>
      <c r="L249" s="34"/>
      <c r="M249" s="34"/>
      <c r="N249" s="34"/>
      <c r="O249" s="34"/>
      <c r="P249" s="34"/>
      <c r="Q249" s="34"/>
      <c r="R249" s="34"/>
      <c r="S249" s="35"/>
      <c r="T249" s="34" cm="1">
        <f t="array" ref="T249">G249</f>
        <v>196245.55</v>
      </c>
      <c r="U249" s="35"/>
      <c r="V249" s="126"/>
      <c r="W249" s="127"/>
      <c r="X249" s="128"/>
      <c r="Y249" s="7"/>
    </row>
    <row r="250" ht="13.55" customHeight="1">
      <c r="A250" s="79"/>
      <c r="B250" s="101">
        <v>45909</v>
      </c>
      <c r="C250" t="s" s="80">
        <v>321</v>
      </c>
      <c r="D250" t="s" s="80">
        <v>322</v>
      </c>
      <c r="E250" s="34"/>
      <c r="F250" s="34"/>
      <c r="G250" s="34">
        <v>1100</v>
      </c>
      <c r="H250" s="34"/>
      <c r="I250" s="34"/>
      <c r="J250" s="34"/>
      <c r="K250" s="34"/>
      <c r="L250" s="34"/>
      <c r="M250" s="34"/>
      <c r="N250" s="34"/>
      <c r="O250" s="34"/>
      <c r="P250" s="34"/>
      <c r="Q250" s="34" cm="1">
        <f t="array" ref="Q250">G250</f>
        <v>1100</v>
      </c>
      <c r="R250" s="34"/>
      <c r="S250" s="35"/>
      <c r="T250" s="35"/>
      <c r="U250" s="35"/>
      <c r="V250" s="126"/>
      <c r="W250" s="127"/>
      <c r="X250" s="128"/>
      <c r="Y250" s="7"/>
    </row>
    <row r="251" ht="13.55" customHeight="1">
      <c r="A251" s="79"/>
      <c r="B251" s="101">
        <v>45910</v>
      </c>
      <c r="C251" t="s" s="80">
        <v>323</v>
      </c>
      <c r="D251" t="s" s="80">
        <v>324</v>
      </c>
      <c r="E251" s="34"/>
      <c r="F251" s="34"/>
      <c r="G251" s="34">
        <v>5916</v>
      </c>
      <c r="H251" s="34"/>
      <c r="I251" s="34"/>
      <c r="J251" s="34"/>
      <c r="K251" s="34"/>
      <c r="L251" s="34"/>
      <c r="M251" s="34"/>
      <c r="N251" s="34"/>
      <c r="O251" s="34"/>
      <c r="P251" s="34"/>
      <c r="Q251" s="34"/>
      <c r="R251" s="34"/>
      <c r="S251" s="35"/>
      <c r="T251" s="35"/>
      <c r="U251" s="35"/>
      <c r="V251" s="138" cm="1">
        <f t="array" ref="V251">G251</f>
        <v>5916</v>
      </c>
      <c r="W251" s="127"/>
      <c r="X251" s="128"/>
      <c r="Y251" s="7"/>
    </row>
    <row r="252" ht="13.55" customHeight="1">
      <c r="A252" s="79"/>
      <c r="B252" s="101">
        <v>45915</v>
      </c>
      <c r="C252" t="s" s="80">
        <v>99</v>
      </c>
      <c r="D252" t="s" s="80">
        <v>235</v>
      </c>
      <c r="E252" s="34"/>
      <c r="F252" s="34"/>
      <c r="G252" s="34">
        <v>591.48</v>
      </c>
      <c r="H252" s="34"/>
      <c r="I252" s="34"/>
      <c r="J252" s="34"/>
      <c r="K252" s="34"/>
      <c r="L252" s="34"/>
      <c r="M252" s="34"/>
      <c r="N252" s="34"/>
      <c r="O252" s="34" cm="1">
        <f t="array" ref="O252">G252</f>
        <v>591.48</v>
      </c>
      <c r="P252" s="34"/>
      <c r="Q252" s="34"/>
      <c r="R252" s="34"/>
      <c r="S252" s="35"/>
      <c r="T252" s="35"/>
      <c r="U252" s="35"/>
      <c r="V252" s="126"/>
      <c r="W252" s="127"/>
      <c r="X252" s="128"/>
      <c r="Y252" s="7"/>
    </row>
    <row r="253" ht="13.55" customHeight="1">
      <c r="A253" s="79"/>
      <c r="B253" s="101">
        <v>45915</v>
      </c>
      <c r="C253" t="s" s="80">
        <v>99</v>
      </c>
      <c r="D253" t="s" s="80">
        <v>325</v>
      </c>
      <c r="E253" s="34"/>
      <c r="F253" s="34"/>
      <c r="G253" s="34">
        <v>94.64</v>
      </c>
      <c r="H253" s="34"/>
      <c r="I253" s="34"/>
      <c r="J253" s="34"/>
      <c r="K253" s="34"/>
      <c r="L253" s="34"/>
      <c r="M253" s="34"/>
      <c r="N253" s="34"/>
      <c r="O253" s="34"/>
      <c r="P253" s="34" cm="1">
        <f t="array" ref="P253">G253</f>
        <v>94.64</v>
      </c>
      <c r="Q253" s="34"/>
      <c r="R253" s="34"/>
      <c r="S253" s="35"/>
      <c r="T253" s="35"/>
      <c r="U253" s="35"/>
      <c r="V253" s="126"/>
      <c r="W253" s="127"/>
      <c r="X253" s="128"/>
      <c r="Y253" s="7"/>
    </row>
    <row r="254" ht="13.55" customHeight="1">
      <c r="A254" s="79"/>
      <c r="B254" s="101">
        <v>45915</v>
      </c>
      <c r="C254" t="s" s="80">
        <v>99</v>
      </c>
      <c r="D254" t="s" s="80">
        <v>282</v>
      </c>
      <c r="E254" s="34"/>
      <c r="F254" s="34"/>
      <c r="G254" s="34">
        <v>990</v>
      </c>
      <c r="H254" s="34"/>
      <c r="I254" s="34"/>
      <c r="J254" s="34"/>
      <c r="K254" s="34"/>
      <c r="L254" s="34"/>
      <c r="M254" s="34"/>
      <c r="N254" s="34"/>
      <c r="O254" s="34" cm="1">
        <f t="array" ref="O254">G254</f>
        <v>990</v>
      </c>
      <c r="P254" s="34"/>
      <c r="Q254" s="34"/>
      <c r="R254" s="34"/>
      <c r="S254" s="35"/>
      <c r="T254" s="35"/>
      <c r="U254" s="35"/>
      <c r="V254" s="126"/>
      <c r="W254" s="127"/>
      <c r="X254" s="128"/>
      <c r="Y254" s="7"/>
    </row>
    <row r="255" ht="13.55" customHeight="1">
      <c r="A255" s="79"/>
      <c r="B255" s="101">
        <v>45915</v>
      </c>
      <c r="C255" t="s" s="80">
        <v>99</v>
      </c>
      <c r="D255" t="s" s="80">
        <v>274</v>
      </c>
      <c r="E255" s="34"/>
      <c r="F255" s="34"/>
      <c r="G255" s="34">
        <v>158.4</v>
      </c>
      <c r="H255" s="34"/>
      <c r="I255" s="34"/>
      <c r="J255" s="34"/>
      <c r="K255" s="34"/>
      <c r="L255" s="34"/>
      <c r="M255" s="34"/>
      <c r="N255" s="34"/>
      <c r="O255" s="34"/>
      <c r="P255" s="34" cm="1">
        <f t="array" ref="P255">G255</f>
        <v>158.4</v>
      </c>
      <c r="Q255" s="34"/>
      <c r="R255" s="34"/>
      <c r="S255" s="35"/>
      <c r="T255" s="35"/>
      <c r="U255" s="35"/>
      <c r="V255" s="126"/>
      <c r="W255" s="127"/>
      <c r="X255" s="128"/>
      <c r="Y255" s="7"/>
    </row>
    <row r="256" ht="13.55" customHeight="1">
      <c r="A256" s="79"/>
      <c r="B256" s="101">
        <v>45915</v>
      </c>
      <c r="C256" t="s" s="80">
        <v>99</v>
      </c>
      <c r="D256" t="s" s="80">
        <v>275</v>
      </c>
      <c r="E256" s="34"/>
      <c r="F256" s="34"/>
      <c r="G256" s="34">
        <v>136.8</v>
      </c>
      <c r="H256" s="34"/>
      <c r="I256" s="34"/>
      <c r="J256" s="34"/>
      <c r="K256" s="34"/>
      <c r="L256" s="34"/>
      <c r="M256" s="34"/>
      <c r="N256" s="34"/>
      <c r="O256" s="34" cm="1">
        <f t="array" ref="O256">G256</f>
        <v>136.8</v>
      </c>
      <c r="P256" s="34"/>
      <c r="Q256" s="34"/>
      <c r="R256" s="34"/>
      <c r="S256" s="35"/>
      <c r="T256" s="35"/>
      <c r="U256" s="35"/>
      <c r="V256" s="126"/>
      <c r="W256" s="127"/>
      <c r="X256" s="128"/>
      <c r="Y256" s="7"/>
    </row>
    <row r="257" ht="13.55" customHeight="1">
      <c r="A257" s="79"/>
      <c r="B257" s="101">
        <v>45915</v>
      </c>
      <c r="C257" t="s" s="80">
        <v>99</v>
      </c>
      <c r="D257" t="s" s="80">
        <v>276</v>
      </c>
      <c r="E257" s="34"/>
      <c r="F257" s="34"/>
      <c r="G257" s="34">
        <v>21.88</v>
      </c>
      <c r="H257" s="34"/>
      <c r="I257" s="34"/>
      <c r="J257" s="34"/>
      <c r="K257" s="34"/>
      <c r="L257" s="34"/>
      <c r="M257" s="34"/>
      <c r="N257" s="34"/>
      <c r="O257" s="34"/>
      <c r="P257" s="34" cm="1">
        <f t="array" ref="P257">G257</f>
        <v>21.88</v>
      </c>
      <c r="Q257" s="34"/>
      <c r="R257" s="34"/>
      <c r="S257" s="35"/>
      <c r="T257" s="35"/>
      <c r="U257" s="35"/>
      <c r="V257" s="126"/>
      <c r="W257" s="127"/>
      <c r="X257" s="128"/>
      <c r="Y257" s="7"/>
    </row>
    <row r="258" ht="13.55" customHeight="1">
      <c r="A258" s="79"/>
      <c r="B258" s="101">
        <v>45915</v>
      </c>
      <c r="C258" t="s" s="80">
        <v>301</v>
      </c>
      <c r="D258" t="s" s="80">
        <v>269</v>
      </c>
      <c r="E258" s="34"/>
      <c r="F258" s="34"/>
      <c r="G258" s="34">
        <v>13502.08</v>
      </c>
      <c r="H258" s="34"/>
      <c r="I258" s="34"/>
      <c r="J258" s="34"/>
      <c r="K258" s="34"/>
      <c r="L258" s="34"/>
      <c r="M258" s="34" cm="1">
        <f t="array" ref="M258">G258</f>
        <v>13502.08</v>
      </c>
      <c r="N258" s="34"/>
      <c r="O258" s="34"/>
      <c r="P258" s="34"/>
      <c r="Q258" s="34"/>
      <c r="R258" s="34"/>
      <c r="S258" s="35"/>
      <c r="T258" s="35"/>
      <c r="U258" s="35"/>
      <c r="V258" s="126"/>
      <c r="W258" s="127"/>
      <c r="X258" s="128"/>
      <c r="Y258" s="7"/>
    </row>
    <row r="259" ht="13.55" customHeight="1">
      <c r="A259" s="79"/>
      <c r="B259" s="101">
        <v>45915</v>
      </c>
      <c r="C259" t="s" s="80">
        <v>99</v>
      </c>
      <c r="D259" t="s" s="80">
        <v>326</v>
      </c>
      <c r="E259" s="34"/>
      <c r="F259" s="34"/>
      <c r="G259" s="34">
        <v>11.6</v>
      </c>
      <c r="H259" s="34"/>
      <c r="I259" s="34"/>
      <c r="J259" s="34"/>
      <c r="K259" s="34"/>
      <c r="L259" s="34"/>
      <c r="M259" s="34"/>
      <c r="N259" s="34"/>
      <c r="O259" s="34"/>
      <c r="P259" s="34" cm="1">
        <f t="array" ref="P259">G259</f>
        <v>11.6</v>
      </c>
      <c r="Q259" s="34"/>
      <c r="R259" s="34"/>
      <c r="S259" s="35"/>
      <c r="T259" s="35"/>
      <c r="U259" s="35"/>
      <c r="V259" s="126"/>
      <c r="W259" s="127"/>
      <c r="X259" s="128"/>
      <c r="Y259" s="7"/>
    </row>
    <row r="260" ht="13.55" customHeight="1">
      <c r="A260" s="79"/>
      <c r="B260" s="101">
        <v>45915</v>
      </c>
      <c r="C260" t="s" s="80">
        <v>301</v>
      </c>
      <c r="D260" t="s" s="80">
        <v>269</v>
      </c>
      <c r="E260" s="34"/>
      <c r="F260" s="34"/>
      <c r="G260" s="34">
        <v>13501.98</v>
      </c>
      <c r="H260" s="34"/>
      <c r="I260" s="34"/>
      <c r="J260" s="34"/>
      <c r="K260" s="34"/>
      <c r="L260" s="34"/>
      <c r="M260" s="34"/>
      <c r="N260" s="34"/>
      <c r="O260" s="34" cm="1">
        <f t="array" ref="O260">G260</f>
        <v>13501.98</v>
      </c>
      <c r="P260" s="34"/>
      <c r="Q260" s="34"/>
      <c r="R260" s="34"/>
      <c r="S260" s="35"/>
      <c r="T260" s="35"/>
      <c r="U260" s="35"/>
      <c r="V260" s="126"/>
      <c r="W260" s="127"/>
      <c r="X260" s="128"/>
      <c r="Y260" s="7"/>
    </row>
    <row r="261" ht="13.55" customHeight="1">
      <c r="A261" s="79"/>
      <c r="B261" s="101">
        <v>45915</v>
      </c>
      <c r="C261" t="s" s="80">
        <v>99</v>
      </c>
      <c r="D261" t="s" s="80">
        <v>288</v>
      </c>
      <c r="E261" s="34"/>
      <c r="F261" s="34"/>
      <c r="G261" s="34">
        <v>11.6</v>
      </c>
      <c r="H261" s="34"/>
      <c r="I261" s="34"/>
      <c r="J261" s="34"/>
      <c r="K261" s="34"/>
      <c r="L261" s="34"/>
      <c r="M261" s="34"/>
      <c r="N261" s="34"/>
      <c r="O261" s="34"/>
      <c r="P261" s="34" cm="1">
        <f t="array" ref="P261">G261</f>
        <v>11.6</v>
      </c>
      <c r="Q261" s="34"/>
      <c r="R261" s="34"/>
      <c r="S261" s="35"/>
      <c r="T261" s="35"/>
      <c r="U261" s="35"/>
      <c r="V261" s="126"/>
      <c r="W261" s="127"/>
      <c r="X261" s="128"/>
      <c r="Y261" s="7"/>
    </row>
    <row r="262" ht="13.55" customHeight="1">
      <c r="A262" s="79"/>
      <c r="B262" s="101">
        <v>45915</v>
      </c>
      <c r="C262" t="s" s="80">
        <v>327</v>
      </c>
      <c r="D262" t="s" s="80">
        <v>328</v>
      </c>
      <c r="E262" s="34"/>
      <c r="F262" s="34"/>
      <c r="G262" s="34">
        <v>15080</v>
      </c>
      <c r="H262" s="34"/>
      <c r="I262" s="34"/>
      <c r="J262" s="34"/>
      <c r="K262" s="34"/>
      <c r="L262" s="34"/>
      <c r="M262" s="34"/>
      <c r="N262" s="34"/>
      <c r="O262" s="34"/>
      <c r="P262" s="34"/>
      <c r="Q262" s="34"/>
      <c r="R262" s="34"/>
      <c r="S262" s="35"/>
      <c r="T262" s="35"/>
      <c r="U262" s="35"/>
      <c r="V262" s="138" cm="1">
        <f t="array" ref="V262">G262</f>
        <v>15080</v>
      </c>
      <c r="W262" s="127"/>
      <c r="X262" s="128"/>
      <c r="Y262" s="7"/>
    </row>
    <row r="263" ht="13.55" customHeight="1">
      <c r="A263" s="79"/>
      <c r="B263" s="101">
        <v>45915</v>
      </c>
      <c r="C263" t="s" s="80">
        <v>181</v>
      </c>
      <c r="D263" t="s" s="80">
        <v>329</v>
      </c>
      <c r="E263" s="34"/>
      <c r="F263" s="34"/>
      <c r="G263" s="34">
        <v>4660</v>
      </c>
      <c r="H263" s="34"/>
      <c r="I263" s="34"/>
      <c r="J263" s="34"/>
      <c r="K263" s="34"/>
      <c r="L263" s="34"/>
      <c r="M263" s="34"/>
      <c r="N263" s="34"/>
      <c r="O263" s="34"/>
      <c r="P263" s="34"/>
      <c r="Q263" s="34"/>
      <c r="R263" s="34"/>
      <c r="S263" s="35"/>
      <c r="T263" s="35"/>
      <c r="U263" s="35"/>
      <c r="V263" s="138" cm="1">
        <f t="array" ref="V263">G263</f>
        <v>4660</v>
      </c>
      <c r="W263" s="127"/>
      <c r="X263" s="128"/>
      <c r="Y263" s="7"/>
    </row>
    <row r="264" ht="13.55" customHeight="1">
      <c r="A264" s="79"/>
      <c r="B264" s="101">
        <v>45915</v>
      </c>
      <c r="C264" t="s" s="80">
        <v>181</v>
      </c>
      <c r="D264" t="s" s="80">
        <v>330</v>
      </c>
      <c r="E264" s="34"/>
      <c r="F264" s="34"/>
      <c r="G264" s="34">
        <v>5000</v>
      </c>
      <c r="H264" s="34"/>
      <c r="I264" s="34"/>
      <c r="J264" s="34"/>
      <c r="K264" s="34"/>
      <c r="L264" s="34"/>
      <c r="M264" s="34"/>
      <c r="N264" s="34"/>
      <c r="O264" s="34"/>
      <c r="P264" s="34"/>
      <c r="Q264" s="34"/>
      <c r="R264" s="34"/>
      <c r="S264" s="35"/>
      <c r="T264" s="35"/>
      <c r="U264" s="35"/>
      <c r="V264" s="138" cm="1">
        <f t="array" ref="V264">G264</f>
        <v>5000</v>
      </c>
      <c r="W264" s="127"/>
      <c r="X264" s="128"/>
      <c r="Y264" s="7"/>
    </row>
    <row r="265" ht="13.55" customHeight="1">
      <c r="A265" s="79"/>
      <c r="B265" s="101">
        <v>45919</v>
      </c>
      <c r="C265" t="s" s="80">
        <v>331</v>
      </c>
      <c r="D265" t="s" s="80">
        <v>332</v>
      </c>
      <c r="E265" s="34"/>
      <c r="F265" s="34"/>
      <c r="G265" s="34">
        <v>6380</v>
      </c>
      <c r="H265" s="34"/>
      <c r="I265" s="34"/>
      <c r="J265" s="34"/>
      <c r="K265" s="34"/>
      <c r="L265" s="34"/>
      <c r="M265" s="34"/>
      <c r="N265" s="34"/>
      <c r="O265" s="34"/>
      <c r="P265" s="34"/>
      <c r="Q265" s="34"/>
      <c r="R265" s="34"/>
      <c r="S265" s="35"/>
      <c r="T265" s="35"/>
      <c r="U265" s="35"/>
      <c r="V265" s="138" cm="1">
        <f t="array" ref="V265">G265</f>
        <v>6380</v>
      </c>
      <c r="W265" s="127"/>
      <c r="X265" s="128"/>
      <c r="Y265" s="7"/>
    </row>
    <row r="266" ht="13.55" customHeight="1">
      <c r="A266" s="79"/>
      <c r="B266" s="101">
        <v>45919</v>
      </c>
      <c r="C266" t="s" s="80">
        <v>317</v>
      </c>
      <c r="D266" s="35"/>
      <c r="E266" s="34"/>
      <c r="F266" s="34"/>
      <c r="G266" s="34">
        <v>20880</v>
      </c>
      <c r="H266" s="34"/>
      <c r="I266" s="34"/>
      <c r="J266" s="34"/>
      <c r="K266" s="34"/>
      <c r="L266" s="34"/>
      <c r="M266" s="34"/>
      <c r="N266" s="34"/>
      <c r="O266" s="34"/>
      <c r="P266" s="34"/>
      <c r="Q266" s="34"/>
      <c r="R266" s="34"/>
      <c r="S266" s="35"/>
      <c r="T266" s="35"/>
      <c r="U266" s="35"/>
      <c r="V266" s="138">
        <v>20880</v>
      </c>
      <c r="W266" s="127"/>
      <c r="X266" s="128"/>
      <c r="Y266" s="7"/>
    </row>
    <row r="267" ht="13.55" customHeight="1">
      <c r="A267" s="79"/>
      <c r="B267" s="101">
        <v>45924</v>
      </c>
      <c r="C267" t="s" s="80">
        <v>333</v>
      </c>
      <c r="D267" t="s" s="80">
        <v>334</v>
      </c>
      <c r="E267" s="34"/>
      <c r="F267" s="34"/>
      <c r="G267" s="34">
        <v>9869.84</v>
      </c>
      <c r="H267" s="34"/>
      <c r="I267" s="34"/>
      <c r="J267" s="34"/>
      <c r="K267" s="34"/>
      <c r="L267" s="34"/>
      <c r="M267" s="34"/>
      <c r="N267" s="34"/>
      <c r="O267" s="34"/>
      <c r="P267" s="34"/>
      <c r="Q267" s="34"/>
      <c r="R267" s="34"/>
      <c r="S267" s="35"/>
      <c r="T267" s="35"/>
      <c r="U267" s="34" cm="1">
        <f t="array" ref="U267">G267</f>
        <v>9869.84</v>
      </c>
      <c r="V267" t="s" s="139">
        <v>8</v>
      </c>
      <c r="W267" s="127"/>
      <c r="X267" s="128"/>
      <c r="Y267" s="7"/>
    </row>
    <row r="268" ht="13.55" customHeight="1">
      <c r="A268" s="79"/>
      <c r="B268" s="101">
        <v>45925</v>
      </c>
      <c r="C268" t="s" s="80">
        <v>335</v>
      </c>
      <c r="D268" t="s" s="80">
        <v>336</v>
      </c>
      <c r="E268" s="34"/>
      <c r="F268" s="34"/>
      <c r="G268" s="34">
        <v>7076</v>
      </c>
      <c r="H268" s="34"/>
      <c r="I268" s="34"/>
      <c r="J268" s="34"/>
      <c r="K268" s="34"/>
      <c r="L268" s="34"/>
      <c r="M268" s="34"/>
      <c r="N268" s="34"/>
      <c r="O268" s="34"/>
      <c r="P268" s="34"/>
      <c r="Q268" s="34"/>
      <c r="R268" s="34"/>
      <c r="S268" s="35"/>
      <c r="T268" s="35"/>
      <c r="U268" s="35"/>
      <c r="V268" s="138" cm="1">
        <f t="array" ref="V268">G268</f>
        <v>7076</v>
      </c>
      <c r="W268" s="127"/>
      <c r="X268" s="128"/>
      <c r="Y268" s="7"/>
    </row>
    <row r="269" ht="13.55" customHeight="1">
      <c r="A269" s="79"/>
      <c r="B269" s="101">
        <v>45925</v>
      </c>
      <c r="C269" t="s" s="80">
        <v>337</v>
      </c>
      <c r="D269" t="s" s="80">
        <v>338</v>
      </c>
      <c r="E269" s="34"/>
      <c r="F269" s="34"/>
      <c r="G269" s="34">
        <v>17400</v>
      </c>
      <c r="H269" s="34"/>
      <c r="I269" s="34"/>
      <c r="J269" s="34"/>
      <c r="K269" s="34"/>
      <c r="L269" s="34"/>
      <c r="M269" s="34"/>
      <c r="N269" s="34"/>
      <c r="O269" s="34"/>
      <c r="P269" s="34"/>
      <c r="Q269" s="34"/>
      <c r="R269" s="34"/>
      <c r="S269" s="35"/>
      <c r="T269" s="34" cm="1">
        <f t="array" ref="T269">G269</f>
        <v>17400</v>
      </c>
      <c r="U269" s="35"/>
      <c r="V269" s="126"/>
      <c r="W269" s="127"/>
      <c r="X269" s="128"/>
      <c r="Y269" s="7"/>
    </row>
    <row r="270" ht="13.55" customHeight="1">
      <c r="A270" s="79"/>
      <c r="B270" s="101">
        <v>45929</v>
      </c>
      <c r="C270" t="s" s="80">
        <v>339</v>
      </c>
      <c r="D270" t="s" s="80">
        <v>340</v>
      </c>
      <c r="E270" s="34"/>
      <c r="F270" s="34"/>
      <c r="G270" s="34">
        <v>4988</v>
      </c>
      <c r="H270" s="34"/>
      <c r="I270" s="34"/>
      <c r="J270" s="34"/>
      <c r="K270" s="34"/>
      <c r="L270" s="34"/>
      <c r="M270" s="34"/>
      <c r="N270" s="34"/>
      <c r="O270" s="34"/>
      <c r="P270" s="34"/>
      <c r="Q270" s="34"/>
      <c r="R270" s="34"/>
      <c r="S270" s="35"/>
      <c r="T270" s="35"/>
      <c r="U270" s="35"/>
      <c r="V270" s="138" cm="1">
        <f t="array" ref="V270">G270</f>
        <v>4988</v>
      </c>
      <c r="W270" s="127"/>
      <c r="X270" s="128"/>
      <c r="Y270" s="7"/>
    </row>
    <row r="271" ht="13.55" customHeight="1">
      <c r="A271" s="79"/>
      <c r="B271" s="101">
        <v>45929</v>
      </c>
      <c r="C271" t="s" s="80">
        <v>301</v>
      </c>
      <c r="D271" t="s" s="80">
        <v>269</v>
      </c>
      <c r="E271" s="34"/>
      <c r="F271" s="34"/>
      <c r="G271" s="34">
        <v>13502.08</v>
      </c>
      <c r="H271" s="34"/>
      <c r="I271" s="34"/>
      <c r="J271" s="34"/>
      <c r="K271" s="34"/>
      <c r="L271" s="34"/>
      <c r="M271" s="34" cm="1">
        <f t="array" ref="M271">G271</f>
        <v>13502.08</v>
      </c>
      <c r="N271" s="34"/>
      <c r="O271" s="34"/>
      <c r="P271" s="34"/>
      <c r="Q271" s="34"/>
      <c r="R271" s="34"/>
      <c r="S271" s="35"/>
      <c r="T271" s="35"/>
      <c r="U271" s="35"/>
      <c r="V271" s="126"/>
      <c r="W271" s="127"/>
      <c r="X271" s="128"/>
      <c r="Y271" s="7"/>
    </row>
    <row r="272" ht="13.55" customHeight="1">
      <c r="A272" s="79"/>
      <c r="B272" s="101">
        <v>45929</v>
      </c>
      <c r="C272" t="s" s="80">
        <v>99</v>
      </c>
      <c r="D272" t="s" s="80">
        <v>288</v>
      </c>
      <c r="E272" s="34"/>
      <c r="F272" s="34"/>
      <c r="G272" s="34">
        <v>11.6</v>
      </c>
      <c r="H272" s="34"/>
      <c r="I272" s="34"/>
      <c r="J272" s="34"/>
      <c r="K272" s="34"/>
      <c r="L272" s="34"/>
      <c r="M272" s="34"/>
      <c r="N272" s="34"/>
      <c r="O272" s="34"/>
      <c r="P272" s="34" cm="1">
        <f t="array" ref="P272">G272</f>
        <v>11.6</v>
      </c>
      <c r="Q272" s="34"/>
      <c r="R272" s="34"/>
      <c r="S272" s="35"/>
      <c r="T272" s="35"/>
      <c r="U272" s="35"/>
      <c r="V272" s="126"/>
      <c r="W272" s="127"/>
      <c r="X272" s="128"/>
      <c r="Y272" s="7"/>
    </row>
    <row r="273" ht="13.55" customHeight="1">
      <c r="A273" s="79"/>
      <c r="B273" s="101">
        <v>45960</v>
      </c>
      <c r="C273" t="s" s="80">
        <v>99</v>
      </c>
      <c r="D273" t="s" s="80">
        <v>341</v>
      </c>
      <c r="E273" s="34"/>
      <c r="F273" s="34"/>
      <c r="G273" s="34">
        <v>400</v>
      </c>
      <c r="H273" s="34"/>
      <c r="I273" s="34"/>
      <c r="J273" s="34"/>
      <c r="K273" s="34"/>
      <c r="L273" s="34"/>
      <c r="M273" s="34"/>
      <c r="N273" s="34"/>
      <c r="O273" s="34">
        <v>400</v>
      </c>
      <c r="P273" s="34"/>
      <c r="Q273" s="34"/>
      <c r="R273" s="34"/>
      <c r="S273" s="35"/>
      <c r="T273" s="35"/>
      <c r="U273" s="35"/>
      <c r="V273" s="126"/>
      <c r="W273" s="127"/>
      <c r="X273" s="128"/>
      <c r="Y273" s="7"/>
    </row>
    <row r="274" ht="13.55" customHeight="1">
      <c r="A274" s="79"/>
      <c r="B274" s="101">
        <v>45960</v>
      </c>
      <c r="C274" t="s" s="80">
        <v>99</v>
      </c>
      <c r="D274" t="s" s="80">
        <v>206</v>
      </c>
      <c r="E274" s="34"/>
      <c r="F274" s="34"/>
      <c r="G274" s="34">
        <v>64</v>
      </c>
      <c r="H274" s="34"/>
      <c r="I274" s="34"/>
      <c r="J274" s="34"/>
      <c r="K274" s="34"/>
      <c r="L274" s="34"/>
      <c r="M274" s="34"/>
      <c r="N274" s="34"/>
      <c r="O274" s="34"/>
      <c r="P274" s="34">
        <v>64</v>
      </c>
      <c r="Q274" s="34"/>
      <c r="R274" s="34"/>
      <c r="S274" s="35"/>
      <c r="T274" s="35"/>
      <c r="U274" s="35"/>
      <c r="V274" s="126"/>
      <c r="W274" s="127"/>
      <c r="X274" s="128"/>
      <c r="Y274" s="7"/>
    </row>
    <row r="275" ht="13.55" customHeight="1">
      <c r="A275" s="79"/>
      <c r="B275" s="35"/>
      <c r="C275" s="35"/>
      <c r="D275" s="35"/>
      <c r="E275" s="35"/>
      <c r="F275" s="35"/>
      <c r="G275" s="34" cm="1">
        <f t="array" ref="G275">SUM(G248:G274)</f>
        <v>358473.53</v>
      </c>
      <c r="H275" s="99" cm="1">
        <f t="array" ref="H275">SUM(H248:H272)</f>
        <v>0</v>
      </c>
      <c r="I275" s="99" cm="1">
        <f t="array" ref="I275">SUM(I248:I272)</f>
        <v>0</v>
      </c>
      <c r="J275" s="99" cm="1">
        <f t="array" ref="J275">SUM(J248:J272)</f>
        <v>0</v>
      </c>
      <c r="K275" s="99" cm="1">
        <f t="array" ref="K275">SUM(K248:K272)</f>
        <v>0</v>
      </c>
      <c r="L275" s="99" cm="1">
        <f t="array" ref="L275">SUM(L248:L272)</f>
        <v>0</v>
      </c>
      <c r="M275" s="99" cm="1">
        <f t="array" ref="M275">SUM(M248:M272)</f>
        <v>27004.16</v>
      </c>
      <c r="N275" s="99" cm="1">
        <f t="array" ref="N275">SUM(N248:N272)</f>
        <v>0</v>
      </c>
      <c r="O275" s="99" cm="1">
        <f t="array" ref="O275">SUM(O248:O273)</f>
        <v>15620.26</v>
      </c>
      <c r="P275" s="99" cm="1">
        <f t="array" ref="P275">SUM(P248:P274)</f>
        <v>373.72</v>
      </c>
      <c r="Q275" s="99" cm="1">
        <f t="array" ref="Q275">SUM(Q248:Q272)</f>
        <v>1100</v>
      </c>
      <c r="R275" s="99" cm="1">
        <f t="array" ref="R275">SUM(R248:R272)</f>
        <v>0</v>
      </c>
      <c r="S275" s="99" cm="1">
        <f t="array" ref="S275">SUM(S248:S272)</f>
        <v>0</v>
      </c>
      <c r="T275" s="99" cm="1">
        <f t="array" ref="T275">SUM(T248:T272)</f>
        <v>213645.55</v>
      </c>
      <c r="U275" s="99" cm="1">
        <f t="array" ref="U275">SUM(U248:U272)</f>
        <v>9869.84</v>
      </c>
      <c r="V275" s="99" cm="1">
        <f t="array" ref="V275">SUM(V248:V272)</f>
        <v>90860</v>
      </c>
      <c r="W275" s="133" cm="1">
        <f t="array" ref="W275">SUM(W248:W272)</f>
        <v>0</v>
      </c>
      <c r="X275" s="134" cm="1">
        <f t="array" ref="X275">H275+I275+J275+K275+L275+M275+N275+O275+P275+Q275+R275+S275+T275+U275+V275+W275</f>
        <v>358473.53</v>
      </c>
      <c r="Y275" t="s" s="26">
        <v>8</v>
      </c>
    </row>
    <row r="276" ht="18" customHeight="1">
      <c r="A276" s="79"/>
      <c r="B276" t="s" s="125">
        <v>77</v>
      </c>
      <c r="C276" s="87"/>
      <c r="D276" s="88"/>
      <c r="E276" s="113"/>
      <c r="F276" s="113"/>
      <c r="G276" s="34"/>
      <c r="H276" s="34"/>
      <c r="I276" s="34"/>
      <c r="J276" s="34"/>
      <c r="K276" s="34"/>
      <c r="L276" s="34"/>
      <c r="M276" s="34"/>
      <c r="N276" s="34"/>
      <c r="O276" s="34"/>
      <c r="P276" s="34"/>
      <c r="Q276" s="34"/>
      <c r="R276" s="34"/>
      <c r="S276" s="35"/>
      <c r="T276" s="35"/>
      <c r="U276" s="35"/>
      <c r="V276" s="126"/>
      <c r="W276" s="127"/>
      <c r="X276" s="128"/>
      <c r="Y276" s="7"/>
    </row>
    <row r="277" ht="18" customHeight="1">
      <c r="A277" s="79"/>
      <c r="B277" t="s" s="125">
        <v>342</v>
      </c>
      <c r="C277" s="87"/>
      <c r="D277" s="88"/>
      <c r="E277" s="88"/>
      <c r="F277" s="88"/>
      <c r="G277" s="34"/>
      <c r="H277" s="34"/>
      <c r="I277" s="34"/>
      <c r="J277" s="34"/>
      <c r="K277" s="34"/>
      <c r="L277" s="34"/>
      <c r="M277" s="34"/>
      <c r="N277" s="34"/>
      <c r="O277" s="34"/>
      <c r="P277" s="34"/>
      <c r="Q277" s="34"/>
      <c r="R277" s="34"/>
      <c r="S277" s="35"/>
      <c r="T277" s="35"/>
      <c r="U277" s="35"/>
      <c r="V277" s="126"/>
      <c r="W277" s="127"/>
      <c r="X277" s="128"/>
      <c r="Y277" s="7"/>
    </row>
    <row r="278" ht="16.5" customHeight="1">
      <c r="A278" s="79"/>
      <c r="B278" s="131"/>
      <c r="C278" s="89"/>
      <c r="D278" t="s" s="90">
        <v>78</v>
      </c>
      <c r="E278" t="s" s="90">
        <v>8</v>
      </c>
      <c r="F278" t="s" s="90">
        <v>8</v>
      </c>
      <c r="G278" t="s" s="90">
        <v>8</v>
      </c>
      <c r="H278" s="34"/>
      <c r="I278" s="34"/>
      <c r="J278" s="34"/>
      <c r="K278" s="34"/>
      <c r="L278" s="34"/>
      <c r="M278" s="34"/>
      <c r="N278" s="34"/>
      <c r="O278" s="34"/>
      <c r="P278" s="34"/>
      <c r="Q278" s="34"/>
      <c r="R278" s="34"/>
      <c r="S278" s="35"/>
      <c r="T278" s="35"/>
      <c r="U278" s="35"/>
      <c r="V278" s="126"/>
      <c r="W278" s="127"/>
      <c r="X278" s="128"/>
      <c r="Y278" s="7"/>
    </row>
    <row r="279" ht="16.5" customHeight="1">
      <c r="A279" s="79"/>
      <c r="B279" t="s" s="132">
        <v>79</v>
      </c>
      <c r="C279" t="s" s="90">
        <v>54</v>
      </c>
      <c r="D279" s="114">
        <v>12061001385</v>
      </c>
      <c r="E279" t="s" s="90">
        <v>8</v>
      </c>
      <c r="F279" t="s" s="90">
        <v>8</v>
      </c>
      <c r="G279" t="s" s="90">
        <v>52</v>
      </c>
      <c r="H279" s="34"/>
      <c r="I279" s="34"/>
      <c r="J279" s="34"/>
      <c r="K279" s="34"/>
      <c r="L279" s="34"/>
      <c r="M279" s="34"/>
      <c r="N279" s="34"/>
      <c r="O279" s="34"/>
      <c r="P279" s="34"/>
      <c r="Q279" s="34"/>
      <c r="R279" s="34"/>
      <c r="S279" s="35"/>
      <c r="T279" s="35"/>
      <c r="U279" s="35"/>
      <c r="V279" s="126"/>
      <c r="W279" s="127"/>
      <c r="X279" s="128"/>
      <c r="Y279" s="7"/>
    </row>
    <row r="280" ht="16.5" customHeight="1">
      <c r="A280" s="79"/>
      <c r="B280" t="s" s="132">
        <v>8</v>
      </c>
      <c r="C280" t="s" s="94">
        <v>58</v>
      </c>
      <c r="D280" t="s" s="95">
        <v>8</v>
      </c>
      <c r="E280" s="89"/>
      <c r="F280" s="89"/>
      <c r="G280" s="89"/>
      <c r="H280" s="34"/>
      <c r="I280" s="34"/>
      <c r="J280" s="34"/>
      <c r="K280" s="34"/>
      <c r="L280" s="34"/>
      <c r="M280" s="34"/>
      <c r="N280" s="34"/>
      <c r="O280" s="34"/>
      <c r="P280" s="34"/>
      <c r="Q280" s="34"/>
      <c r="R280" s="34"/>
      <c r="S280" s="35"/>
      <c r="T280" s="35"/>
      <c r="U280" s="35"/>
      <c r="V280" s="126"/>
      <c r="W280" s="127"/>
      <c r="X280" s="128"/>
      <c r="Y280" s="7"/>
    </row>
    <row r="281" ht="13.55" customHeight="1">
      <c r="A281" s="79"/>
      <c r="B281" s="101">
        <v>45931</v>
      </c>
      <c r="C281" t="s" s="80">
        <v>343</v>
      </c>
      <c r="D281" t="s" s="80">
        <v>344</v>
      </c>
      <c r="E281" s="34"/>
      <c r="F281" s="34"/>
      <c r="G281" s="34">
        <v>7466.78</v>
      </c>
      <c r="H281" s="34"/>
      <c r="I281" s="34"/>
      <c r="J281" s="34"/>
      <c r="K281" s="34"/>
      <c r="L281" s="34"/>
      <c r="M281" s="34"/>
      <c r="N281" s="34"/>
      <c r="O281" s="34"/>
      <c r="P281" s="34"/>
      <c r="Q281" s="34"/>
      <c r="R281" s="34"/>
      <c r="S281" s="35"/>
      <c r="T281" s="35"/>
      <c r="U281" s="35"/>
      <c r="V281" s="35"/>
      <c r="W281" s="140" cm="1">
        <f t="array" ref="W281">G281</f>
        <v>7466.78</v>
      </c>
      <c r="X281" s="128"/>
      <c r="Y281" s="7"/>
    </row>
    <row r="282" ht="13.55" customHeight="1">
      <c r="A282" s="79"/>
      <c r="B282" s="101">
        <v>45940</v>
      </c>
      <c r="C282" t="s" s="80">
        <v>345</v>
      </c>
      <c r="D282" t="s" s="80">
        <v>346</v>
      </c>
      <c r="E282" s="34"/>
      <c r="F282" s="34"/>
      <c r="G282" s="34">
        <v>4640</v>
      </c>
      <c r="H282" s="34"/>
      <c r="I282" s="34"/>
      <c r="J282" s="34"/>
      <c r="K282" s="34"/>
      <c r="L282" s="34"/>
      <c r="M282" s="34"/>
      <c r="N282" s="34"/>
      <c r="O282" s="34"/>
      <c r="P282" s="34"/>
      <c r="Q282" s="34" cm="1">
        <f t="array" ref="Q282">G282</f>
        <v>4640</v>
      </c>
      <c r="R282" s="34"/>
      <c r="S282" s="35"/>
      <c r="T282" s="35"/>
      <c r="U282" s="35"/>
      <c r="V282" s="126"/>
      <c r="W282" s="127"/>
      <c r="X282" s="128"/>
      <c r="Y282" s="7"/>
    </row>
    <row r="283" ht="13.55" customHeight="1">
      <c r="A283" s="79"/>
      <c r="B283" s="101">
        <v>45943</v>
      </c>
      <c r="C283" t="s" s="80">
        <v>287</v>
      </c>
      <c r="D283" t="s" s="80">
        <v>347</v>
      </c>
      <c r="E283" s="34"/>
      <c r="F283" s="34"/>
      <c r="G283" s="34">
        <v>10000</v>
      </c>
      <c r="H283" s="34"/>
      <c r="I283" s="34"/>
      <c r="J283" s="34"/>
      <c r="K283" s="34"/>
      <c r="L283" s="34"/>
      <c r="M283" s="34"/>
      <c r="N283" s="34" cm="1">
        <f t="array" ref="N283">G283</f>
        <v>10000</v>
      </c>
      <c r="O283" s="34"/>
      <c r="P283" s="34"/>
      <c r="Q283" s="34"/>
      <c r="R283" s="34"/>
      <c r="S283" s="35"/>
      <c r="T283" s="35"/>
      <c r="U283" s="35"/>
      <c r="V283" s="126"/>
      <c r="W283" s="127"/>
      <c r="X283" s="128"/>
      <c r="Y283" s="7"/>
    </row>
    <row r="284" ht="13.55" customHeight="1">
      <c r="A284" s="79"/>
      <c r="B284" s="101">
        <v>45944</v>
      </c>
      <c r="C284" t="s" s="80">
        <v>301</v>
      </c>
      <c r="D284" t="s" s="80">
        <v>269</v>
      </c>
      <c r="E284" s="34"/>
      <c r="F284" s="34"/>
      <c r="G284" s="34">
        <v>13502.08</v>
      </c>
      <c r="H284" s="34"/>
      <c r="I284" s="34"/>
      <c r="J284" s="34"/>
      <c r="K284" s="34"/>
      <c r="L284" s="34"/>
      <c r="M284" s="34" cm="1">
        <f t="array" ref="M284">G284</f>
        <v>13502.08</v>
      </c>
      <c r="N284" s="34"/>
      <c r="O284" s="34"/>
      <c r="P284" s="34"/>
      <c r="Q284" s="34"/>
      <c r="R284" s="34"/>
      <c r="S284" s="35"/>
      <c r="T284" s="35"/>
      <c r="U284" s="35"/>
      <c r="V284" s="126"/>
      <c r="W284" s="127"/>
      <c r="X284" s="128"/>
      <c r="Y284" s="7"/>
    </row>
    <row r="285" ht="13.55" customHeight="1">
      <c r="A285" s="79"/>
      <c r="B285" s="101">
        <v>45944</v>
      </c>
      <c r="C285" t="s" s="80">
        <v>99</v>
      </c>
      <c r="D285" t="s" s="80">
        <v>348</v>
      </c>
      <c r="E285" s="34"/>
      <c r="F285" s="34"/>
      <c r="G285" s="34">
        <v>11.6</v>
      </c>
      <c r="H285" s="34"/>
      <c r="I285" s="34"/>
      <c r="J285" s="34"/>
      <c r="K285" s="34"/>
      <c r="L285" s="34"/>
      <c r="M285" s="34"/>
      <c r="N285" s="34"/>
      <c r="O285" s="34"/>
      <c r="P285" s="34" cm="1">
        <f t="array" ref="P285">G285</f>
        <v>11.6</v>
      </c>
      <c r="Q285" s="34"/>
      <c r="R285" s="34"/>
      <c r="S285" s="35"/>
      <c r="T285" s="35"/>
      <c r="U285" s="35"/>
      <c r="V285" s="126"/>
      <c r="W285" s="127"/>
      <c r="X285" s="128"/>
      <c r="Y285" s="7"/>
    </row>
    <row r="286" ht="13.55" customHeight="1">
      <c r="A286" s="79"/>
      <c r="B286" s="101">
        <v>45947</v>
      </c>
      <c r="C286" t="s" s="80">
        <v>99</v>
      </c>
      <c r="D286" t="s" s="80">
        <v>282</v>
      </c>
      <c r="E286" s="34"/>
      <c r="F286" s="34"/>
      <c r="G286" s="34">
        <v>946</v>
      </c>
      <c r="H286" s="34"/>
      <c r="I286" s="34"/>
      <c r="J286" s="34"/>
      <c r="K286" s="34"/>
      <c r="L286" s="34"/>
      <c r="M286" s="34"/>
      <c r="N286" s="34"/>
      <c r="O286" s="34" cm="1">
        <f t="array" ref="O286">G286</f>
        <v>946</v>
      </c>
      <c r="P286" s="34"/>
      <c r="Q286" s="34"/>
      <c r="R286" s="34"/>
      <c r="S286" s="35"/>
      <c r="T286" s="35"/>
      <c r="U286" s="35"/>
      <c r="V286" s="126"/>
      <c r="W286" s="127"/>
      <c r="X286" s="128"/>
      <c r="Y286" s="7"/>
    </row>
    <row r="287" ht="13.55" customHeight="1">
      <c r="A287" s="79"/>
      <c r="B287" s="101">
        <v>45947</v>
      </c>
      <c r="C287" t="s" s="80">
        <v>99</v>
      </c>
      <c r="D287" t="s" s="80">
        <v>274</v>
      </c>
      <c r="E287" s="34"/>
      <c r="F287" s="34"/>
      <c r="G287" s="34">
        <v>151.36</v>
      </c>
      <c r="H287" s="34"/>
      <c r="I287" s="34"/>
      <c r="J287" s="34"/>
      <c r="K287" s="34"/>
      <c r="L287" s="34"/>
      <c r="M287" s="34"/>
      <c r="N287" s="34"/>
      <c r="O287" s="34"/>
      <c r="P287" s="34" cm="1">
        <f t="array" ref="P287">G287</f>
        <v>151.36</v>
      </c>
      <c r="Q287" s="34"/>
      <c r="R287" s="34"/>
      <c r="S287" s="35"/>
      <c r="T287" s="35"/>
      <c r="U287" s="35"/>
      <c r="V287" s="126"/>
      <c r="W287" s="127"/>
      <c r="X287" s="128"/>
      <c r="Y287" s="7"/>
    </row>
    <row r="288" ht="13.55" customHeight="1">
      <c r="A288" s="79"/>
      <c r="B288" s="101">
        <v>45947</v>
      </c>
      <c r="C288" t="s" s="80">
        <v>99</v>
      </c>
      <c r="D288" t="s" s="80">
        <v>349</v>
      </c>
      <c r="E288" s="34"/>
      <c r="F288" s="34"/>
      <c r="G288" s="34">
        <v>136.8</v>
      </c>
      <c r="H288" s="34"/>
      <c r="I288" s="34"/>
      <c r="J288" s="34"/>
      <c r="K288" s="34"/>
      <c r="L288" s="34"/>
      <c r="M288" s="34"/>
      <c r="N288" s="34"/>
      <c r="O288" s="34" cm="1">
        <f t="array" ref="O288">G288</f>
        <v>136.8</v>
      </c>
      <c r="P288" s="34"/>
      <c r="Q288" s="34"/>
      <c r="R288" s="34"/>
      <c r="S288" s="35"/>
      <c r="T288" s="35"/>
      <c r="U288" s="35"/>
      <c r="V288" s="126"/>
      <c r="W288" s="127"/>
      <c r="X288" s="128"/>
      <c r="Y288" s="7"/>
    </row>
    <row r="289" ht="13.55" customHeight="1">
      <c r="A289" s="79"/>
      <c r="B289" s="101">
        <v>45947</v>
      </c>
      <c r="C289" t="s" s="80">
        <v>99</v>
      </c>
      <c r="D289" t="s" s="80">
        <v>350</v>
      </c>
      <c r="E289" s="34"/>
      <c r="F289" s="34"/>
      <c r="G289" s="34">
        <v>21.88</v>
      </c>
      <c r="H289" s="34"/>
      <c r="I289" s="34"/>
      <c r="J289" s="34"/>
      <c r="K289" s="34"/>
      <c r="L289" s="34"/>
      <c r="M289" s="34"/>
      <c r="N289" s="34"/>
      <c r="O289" s="34"/>
      <c r="P289" s="34" cm="1">
        <f t="array" ref="P289">G289</f>
        <v>21.88</v>
      </c>
      <c r="Q289" s="34"/>
      <c r="R289" s="34"/>
      <c r="S289" s="35"/>
      <c r="T289" s="35"/>
      <c r="U289" s="35"/>
      <c r="V289" s="126"/>
      <c r="W289" s="127"/>
      <c r="X289" s="128"/>
      <c r="Y289" s="7"/>
    </row>
    <row r="290" ht="13.55" customHeight="1">
      <c r="A290" s="79"/>
      <c r="B290" s="101">
        <v>45947</v>
      </c>
      <c r="C290" t="s" s="80">
        <v>99</v>
      </c>
      <c r="D290" t="s" s="80">
        <v>351</v>
      </c>
      <c r="E290" s="34"/>
      <c r="F290" s="34"/>
      <c r="G290" s="34">
        <v>576.73</v>
      </c>
      <c r="H290" s="34"/>
      <c r="I290" s="34"/>
      <c r="J290" s="34"/>
      <c r="K290" s="34"/>
      <c r="L290" s="34"/>
      <c r="M290" s="34"/>
      <c r="N290" s="34"/>
      <c r="O290" s="34" cm="1">
        <f t="array" ref="O290">G290</f>
        <v>576.73</v>
      </c>
      <c r="P290" s="34"/>
      <c r="Q290" s="34"/>
      <c r="R290" s="34"/>
      <c r="S290" s="35"/>
      <c r="T290" s="35"/>
      <c r="U290" s="35"/>
      <c r="V290" s="126"/>
      <c r="W290" s="127"/>
      <c r="X290" s="128"/>
      <c r="Y290" s="7"/>
    </row>
    <row r="291" ht="13.55" customHeight="1">
      <c r="A291" s="79"/>
      <c r="B291" s="101">
        <v>45947</v>
      </c>
      <c r="C291" t="s" s="80">
        <v>99</v>
      </c>
      <c r="D291" t="s" s="80">
        <v>325</v>
      </c>
      <c r="E291" s="34"/>
      <c r="F291" s="34"/>
      <c r="G291" s="34">
        <v>92.28</v>
      </c>
      <c r="H291" s="34"/>
      <c r="I291" s="34"/>
      <c r="J291" s="34"/>
      <c r="K291" s="34"/>
      <c r="L291" s="34"/>
      <c r="M291" s="34"/>
      <c r="N291" s="34"/>
      <c r="O291" s="34"/>
      <c r="P291" s="34" cm="1">
        <f t="array" ref="P291">G291</f>
        <v>92.28</v>
      </c>
      <c r="Q291" s="34"/>
      <c r="R291" s="34"/>
      <c r="S291" s="35"/>
      <c r="T291" s="35"/>
      <c r="U291" s="35"/>
      <c r="V291" s="126"/>
      <c r="W291" s="127"/>
      <c r="X291" s="128"/>
      <c r="Y291" s="7"/>
    </row>
    <row r="292" ht="13.55" customHeight="1">
      <c r="A292" s="79"/>
      <c r="B292" s="101">
        <v>45947</v>
      </c>
      <c r="C292" t="s" s="80">
        <v>337</v>
      </c>
      <c r="D292" t="s" s="80">
        <v>352</v>
      </c>
      <c r="E292" s="34"/>
      <c r="F292" s="34"/>
      <c r="G292" s="34">
        <v>15486</v>
      </c>
      <c r="H292" s="34"/>
      <c r="I292" s="34"/>
      <c r="J292" s="34"/>
      <c r="K292" s="34"/>
      <c r="L292" s="34"/>
      <c r="M292" s="34"/>
      <c r="N292" s="34"/>
      <c r="O292" s="34"/>
      <c r="P292" s="34"/>
      <c r="Q292" s="34"/>
      <c r="R292" s="34"/>
      <c r="S292" s="35"/>
      <c r="T292" t="s" s="80">
        <v>8</v>
      </c>
      <c r="U292" s="35"/>
      <c r="V292" s="138" cm="1">
        <f t="array" ref="V292">G292</f>
        <v>15486</v>
      </c>
      <c r="W292" s="127"/>
      <c r="X292" s="128"/>
      <c r="Y292" s="7"/>
    </row>
    <row r="293" ht="13.55" customHeight="1">
      <c r="A293" s="79"/>
      <c r="B293" s="101">
        <v>45947</v>
      </c>
      <c r="C293" t="s" s="80">
        <v>353</v>
      </c>
      <c r="D293" t="s" s="80">
        <v>354</v>
      </c>
      <c r="E293" s="34"/>
      <c r="F293" s="34"/>
      <c r="G293" s="34">
        <v>140000</v>
      </c>
      <c r="H293" s="34"/>
      <c r="I293" s="34"/>
      <c r="J293" s="34"/>
      <c r="K293" s="34"/>
      <c r="L293" s="34"/>
      <c r="M293" s="34"/>
      <c r="N293" s="34"/>
      <c r="O293" s="34"/>
      <c r="P293" s="34"/>
      <c r="Q293" s="34"/>
      <c r="R293" s="34"/>
      <c r="S293" s="35"/>
      <c r="T293" s="35"/>
      <c r="U293" s="35"/>
      <c r="V293" s="138" cm="1">
        <f t="array" ref="V293">G293</f>
        <v>140000</v>
      </c>
      <c r="W293" s="127"/>
      <c r="X293" s="128"/>
      <c r="Y293" s="7"/>
    </row>
    <row r="294" ht="13.55" customHeight="1">
      <c r="A294" s="9"/>
      <c r="B294" s="112">
        <v>45951</v>
      </c>
      <c r="C294" t="s" s="80">
        <v>355</v>
      </c>
      <c r="D294" t="s" s="80">
        <v>347</v>
      </c>
      <c r="E294" s="34"/>
      <c r="F294" s="34"/>
      <c r="G294" s="34">
        <v>5000</v>
      </c>
      <c r="H294" s="34"/>
      <c r="I294" s="34"/>
      <c r="J294" s="34"/>
      <c r="K294" s="34"/>
      <c r="L294" s="34"/>
      <c r="M294" s="34"/>
      <c r="N294" s="34" cm="1">
        <f t="array" ref="N294">G294</f>
        <v>5000</v>
      </c>
      <c r="O294" s="34"/>
      <c r="P294" s="34"/>
      <c r="Q294" s="34"/>
      <c r="R294" s="34"/>
      <c r="S294" s="35"/>
      <c r="T294" s="35"/>
      <c r="U294" s="35"/>
      <c r="V294" s="126"/>
      <c r="W294" s="127"/>
      <c r="X294" s="128"/>
      <c r="Y294" s="7"/>
    </row>
    <row r="295" ht="13.55" customHeight="1">
      <c r="A295" s="9"/>
      <c r="B295" s="112">
        <v>45954</v>
      </c>
      <c r="C295" t="s" s="80">
        <v>356</v>
      </c>
      <c r="D295" t="s" s="80">
        <v>357</v>
      </c>
      <c r="E295" s="34"/>
      <c r="F295" s="34"/>
      <c r="G295" s="34">
        <v>17400</v>
      </c>
      <c r="H295" s="34"/>
      <c r="I295" s="34"/>
      <c r="J295" s="34"/>
      <c r="K295" s="34"/>
      <c r="L295" s="34"/>
      <c r="M295" s="34"/>
      <c r="N295" s="34"/>
      <c r="O295" s="34"/>
      <c r="P295" s="34"/>
      <c r="Q295" s="34"/>
      <c r="R295" s="34"/>
      <c r="S295" t="s" s="80">
        <v>8</v>
      </c>
      <c r="T295" s="34" cm="1">
        <f t="array" ref="T295">G295</f>
        <v>17400</v>
      </c>
      <c r="U295" s="35"/>
      <c r="V295" s="126"/>
      <c r="W295" s="127"/>
      <c r="X295" s="128"/>
      <c r="Y295" s="7"/>
    </row>
    <row r="296" ht="13.55" customHeight="1">
      <c r="A296" s="9"/>
      <c r="B296" s="112">
        <v>45954</v>
      </c>
      <c r="C296" t="s" s="80">
        <v>356</v>
      </c>
      <c r="D296" t="s" s="80">
        <v>358</v>
      </c>
      <c r="E296" s="34"/>
      <c r="F296" s="34"/>
      <c r="G296" s="34">
        <v>26100</v>
      </c>
      <c r="H296" s="34"/>
      <c r="I296" s="34"/>
      <c r="J296" s="34"/>
      <c r="K296" s="34"/>
      <c r="L296" s="34"/>
      <c r="M296" s="34"/>
      <c r="N296" s="34"/>
      <c r="O296" s="34"/>
      <c r="P296" s="34"/>
      <c r="Q296" s="34"/>
      <c r="R296" s="34"/>
      <c r="S296" t="s" s="80">
        <v>8</v>
      </c>
      <c r="T296" s="34" cm="1">
        <f t="array" ref="T296">G296</f>
        <v>26100</v>
      </c>
      <c r="U296" s="35"/>
      <c r="V296" s="126"/>
      <c r="W296" s="127"/>
      <c r="X296" s="128"/>
      <c r="Y296" s="7"/>
    </row>
    <row r="297" ht="13.55" customHeight="1">
      <c r="A297" s="9"/>
      <c r="B297" s="112">
        <v>45958</v>
      </c>
      <c r="C297" t="s" s="80">
        <v>359</v>
      </c>
      <c r="D297" t="s" s="80">
        <v>360</v>
      </c>
      <c r="E297" s="34"/>
      <c r="F297" s="34"/>
      <c r="G297" s="34">
        <v>5151.13</v>
      </c>
      <c r="H297" s="34"/>
      <c r="I297" s="34"/>
      <c r="J297" s="34"/>
      <c r="K297" s="34"/>
      <c r="L297" s="34"/>
      <c r="M297" s="34"/>
      <c r="N297" s="34"/>
      <c r="O297" s="34"/>
      <c r="P297" s="34"/>
      <c r="Q297" s="34"/>
      <c r="R297" s="34"/>
      <c r="S297" t="s" s="80">
        <v>8</v>
      </c>
      <c r="T297" s="35"/>
      <c r="U297" s="35"/>
      <c r="V297" s="35"/>
      <c r="W297" s="140" cm="1">
        <f t="array" ref="W297">G297</f>
        <v>5151.13</v>
      </c>
      <c r="X297" s="128"/>
      <c r="Y297" s="7"/>
    </row>
    <row r="298" ht="13.55" customHeight="1">
      <c r="A298" s="9"/>
      <c r="B298" s="112">
        <v>45960</v>
      </c>
      <c r="C298" t="s" s="80">
        <v>197</v>
      </c>
      <c r="D298" t="s" s="80">
        <v>269</v>
      </c>
      <c r="E298" s="34"/>
      <c r="F298" s="34"/>
      <c r="G298" s="34">
        <v>13973.13</v>
      </c>
      <c r="H298" s="34"/>
      <c r="I298" s="34"/>
      <c r="J298" s="34"/>
      <c r="K298" s="34"/>
      <c r="L298" s="34"/>
      <c r="M298" s="34" cm="1">
        <f t="array" ref="M298">G298</f>
        <v>13973.13</v>
      </c>
      <c r="N298" s="34"/>
      <c r="O298" s="34"/>
      <c r="P298" s="34"/>
      <c r="Q298" s="34"/>
      <c r="R298" s="34"/>
      <c r="S298" s="35"/>
      <c r="T298" s="35"/>
      <c r="U298" s="35"/>
      <c r="V298" s="126"/>
      <c r="W298" s="127"/>
      <c r="X298" s="128"/>
      <c r="Y298" s="7"/>
    </row>
    <row r="299" ht="13.55" customHeight="1">
      <c r="A299" s="79"/>
      <c r="B299" s="101"/>
      <c r="C299" s="35"/>
      <c r="D299" s="35"/>
      <c r="E299" s="34"/>
      <c r="F299" s="34"/>
      <c r="G299" s="34"/>
      <c r="H299" s="34"/>
      <c r="I299" s="34"/>
      <c r="J299" s="34"/>
      <c r="K299" s="34"/>
      <c r="L299" s="34"/>
      <c r="M299" s="34"/>
      <c r="N299" s="34"/>
      <c r="O299" s="34"/>
      <c r="P299" s="34"/>
      <c r="Q299" s="34"/>
      <c r="R299" s="34"/>
      <c r="S299" s="35"/>
      <c r="T299" s="35"/>
      <c r="U299" s="35"/>
      <c r="V299" s="126"/>
      <c r="W299" s="127"/>
      <c r="X299" s="128"/>
      <c r="Y299" s="7"/>
    </row>
    <row r="300" ht="13.55" customHeight="1">
      <c r="A300" s="79"/>
      <c r="B300" s="35"/>
      <c r="C300" s="35"/>
      <c r="D300" s="35"/>
      <c r="E300" s="35"/>
      <c r="F300" s="35"/>
      <c r="G300" s="34" cm="1">
        <f t="array" ref="G300">SUM(G281:G299)</f>
        <v>260655.77</v>
      </c>
      <c r="H300" s="99" cm="1">
        <f t="array" ref="H300">SUM(H281:H299)</f>
        <v>0</v>
      </c>
      <c r="I300" s="99" cm="1">
        <f t="array" ref="I300">SUM(I281:I299)</f>
        <v>0</v>
      </c>
      <c r="J300" s="99" cm="1">
        <f t="array" ref="J300">SUM(J281:J299)</f>
        <v>0</v>
      </c>
      <c r="K300" s="99" cm="1">
        <f t="array" ref="K300">SUM(K281:K299)</f>
        <v>0</v>
      </c>
      <c r="L300" s="99" cm="1">
        <f t="array" ref="L300">SUM(L281:L299)</f>
        <v>0</v>
      </c>
      <c r="M300" s="99" cm="1">
        <f t="array" ref="M300">SUM(M281:M299)</f>
        <v>27475.21</v>
      </c>
      <c r="N300" s="99" cm="1">
        <f t="array" ref="N300">SUM(N281:N299)</f>
        <v>15000</v>
      </c>
      <c r="O300" s="99" cm="1">
        <f t="array" ref="O300">SUM(O281:O299)</f>
        <v>1659.53</v>
      </c>
      <c r="P300" s="99" cm="1">
        <f t="array" ref="P300">SUM(P281:P299)</f>
        <v>277.12</v>
      </c>
      <c r="Q300" s="99" cm="1">
        <f t="array" ref="Q300">SUM(Q281:Q299)</f>
        <v>4640</v>
      </c>
      <c r="R300" s="99" cm="1">
        <f t="array" ref="R300">SUM(R281:R299)</f>
        <v>0</v>
      </c>
      <c r="S300" s="99" cm="1">
        <f t="array" ref="S300">SUM(S281:S299)</f>
        <v>0</v>
      </c>
      <c r="T300" s="99" cm="1">
        <f t="array" ref="T300">SUM(T281:T299)</f>
        <v>43500</v>
      </c>
      <c r="U300" s="99" cm="1">
        <f t="array" ref="U300">SUM(U281:U299)</f>
        <v>0</v>
      </c>
      <c r="V300" s="99" cm="1">
        <f t="array" ref="V300">SUM(V281:V299)</f>
        <v>155486</v>
      </c>
      <c r="W300" s="99" cm="1">
        <f t="array" ref="W300">SUM(W281:W299)</f>
        <v>12617.91</v>
      </c>
      <c r="X300" s="135" cm="1">
        <f t="array" ref="X300">W300+V300+U300+T300+S300+R300+Q300+P300+O300+N300+M300+L300+K300+J300+I300+H300</f>
        <v>260655.77</v>
      </c>
      <c r="Y300" s="7"/>
    </row>
    <row r="301" ht="18" customHeight="1">
      <c r="A301" s="79"/>
      <c r="B301" t="s" s="125">
        <v>77</v>
      </c>
      <c r="C301" s="87"/>
      <c r="D301" s="88"/>
      <c r="E301" s="113"/>
      <c r="F301" s="113"/>
      <c r="G301" s="34"/>
      <c r="H301" s="34"/>
      <c r="I301" s="34"/>
      <c r="J301" s="34"/>
      <c r="K301" s="34"/>
      <c r="L301" s="34"/>
      <c r="M301" s="34"/>
      <c r="N301" s="34"/>
      <c r="O301" s="34"/>
      <c r="P301" s="34"/>
      <c r="Q301" s="34"/>
      <c r="R301" s="34"/>
      <c r="S301" s="35"/>
      <c r="T301" s="35"/>
      <c r="U301" s="35"/>
      <c r="V301" s="126"/>
      <c r="W301" s="127"/>
      <c r="X301" s="128"/>
      <c r="Y301" s="7"/>
    </row>
    <row r="302" ht="18" customHeight="1">
      <c r="A302" s="79"/>
      <c r="B302" t="s" s="125">
        <v>361</v>
      </c>
      <c r="C302" s="87"/>
      <c r="D302" s="88"/>
      <c r="E302" s="88"/>
      <c r="F302" s="88"/>
      <c r="G302" s="34"/>
      <c r="H302" s="34"/>
      <c r="I302" s="34"/>
      <c r="J302" s="34"/>
      <c r="K302" s="34"/>
      <c r="L302" s="34"/>
      <c r="M302" s="34"/>
      <c r="N302" s="34"/>
      <c r="O302" s="34"/>
      <c r="P302" s="34"/>
      <c r="Q302" s="34"/>
      <c r="R302" s="34"/>
      <c r="S302" s="35"/>
      <c r="T302" s="35"/>
      <c r="U302" s="35"/>
      <c r="V302" s="126"/>
      <c r="W302" s="127"/>
      <c r="X302" s="128"/>
      <c r="Y302" s="7"/>
    </row>
    <row r="303" ht="16.5" customHeight="1">
      <c r="A303" s="79"/>
      <c r="B303" s="131"/>
      <c r="C303" s="89"/>
      <c r="D303" t="s" s="90">
        <v>78</v>
      </c>
      <c r="E303" t="s" s="90">
        <v>8</v>
      </c>
      <c r="F303" t="s" s="90">
        <v>8</v>
      </c>
      <c r="G303" t="s" s="90">
        <v>8</v>
      </c>
      <c r="H303" s="34"/>
      <c r="I303" s="34"/>
      <c r="J303" s="34"/>
      <c r="K303" s="34"/>
      <c r="L303" s="34"/>
      <c r="M303" s="34"/>
      <c r="N303" s="34"/>
      <c r="O303" s="34"/>
      <c r="P303" s="34"/>
      <c r="Q303" s="34"/>
      <c r="R303" s="34"/>
      <c r="S303" s="35"/>
      <c r="T303" s="35"/>
      <c r="U303" s="35"/>
      <c r="V303" s="126"/>
      <c r="W303" s="127"/>
      <c r="X303" s="128"/>
      <c r="Y303" s="7"/>
    </row>
    <row r="304" ht="16.5" customHeight="1">
      <c r="A304" s="79"/>
      <c r="B304" t="s" s="132">
        <v>79</v>
      </c>
      <c r="C304" t="s" s="90">
        <v>54</v>
      </c>
      <c r="D304" s="114">
        <v>12061001385</v>
      </c>
      <c r="E304" t="s" s="90">
        <v>8</v>
      </c>
      <c r="F304" t="s" s="90">
        <v>8</v>
      </c>
      <c r="G304" t="s" s="90">
        <v>52</v>
      </c>
      <c r="H304" s="34"/>
      <c r="I304" s="34"/>
      <c r="J304" s="34"/>
      <c r="K304" s="34"/>
      <c r="L304" s="34"/>
      <c r="M304" s="34"/>
      <c r="N304" s="34"/>
      <c r="O304" s="34"/>
      <c r="P304" s="34"/>
      <c r="Q304" s="34"/>
      <c r="R304" s="34"/>
      <c r="S304" s="35"/>
      <c r="T304" s="35"/>
      <c r="U304" s="35"/>
      <c r="V304" s="126"/>
      <c r="W304" s="127"/>
      <c r="X304" s="128"/>
      <c r="Y304" s="7"/>
    </row>
    <row r="305" ht="16.5" customHeight="1">
      <c r="A305" s="79"/>
      <c r="B305" t="s" s="132">
        <v>8</v>
      </c>
      <c r="C305" t="s" s="94">
        <v>58</v>
      </c>
      <c r="D305" t="s" s="95">
        <v>8</v>
      </c>
      <c r="E305" s="89"/>
      <c r="F305" s="89"/>
      <c r="G305" s="89"/>
      <c r="H305" s="34"/>
      <c r="I305" s="34"/>
      <c r="J305" s="34"/>
      <c r="K305" s="34"/>
      <c r="L305" s="34"/>
      <c r="M305" s="34"/>
      <c r="N305" s="34"/>
      <c r="O305" s="34"/>
      <c r="P305" s="34"/>
      <c r="Q305" s="34"/>
      <c r="R305" s="34"/>
      <c r="S305" s="35"/>
      <c r="T305" s="35"/>
      <c r="U305" s="35"/>
      <c r="V305" s="126"/>
      <c r="W305" s="127"/>
      <c r="X305" s="128"/>
      <c r="Y305" s="7"/>
    </row>
    <row r="306" ht="16.5" customHeight="1">
      <c r="A306" s="79"/>
      <c r="B306" s="141"/>
      <c r="C306" s="142"/>
      <c r="D306" s="143"/>
      <c r="E306" s="143"/>
      <c r="F306" s="143"/>
      <c r="G306" s="143"/>
      <c r="H306" s="34"/>
      <c r="I306" s="34"/>
      <c r="J306" s="34"/>
      <c r="K306" s="34"/>
      <c r="L306" s="34"/>
      <c r="M306" s="34"/>
      <c r="N306" s="34"/>
      <c r="O306" s="34"/>
      <c r="P306" s="34"/>
      <c r="Q306" s="34"/>
      <c r="R306" s="34"/>
      <c r="S306" s="35"/>
      <c r="T306" s="35"/>
      <c r="U306" s="35"/>
      <c r="V306" s="126"/>
      <c r="W306" s="127"/>
      <c r="X306" s="128"/>
      <c r="Y306" s="7"/>
    </row>
    <row r="307" ht="16.5" customHeight="1">
      <c r="A307" s="79"/>
      <c r="B307" s="141"/>
      <c r="C307" s="142"/>
      <c r="D307" s="143"/>
      <c r="E307" s="143"/>
      <c r="F307" s="143"/>
      <c r="G307" s="143"/>
      <c r="H307" s="34"/>
      <c r="I307" s="34"/>
      <c r="J307" s="34"/>
      <c r="K307" s="34"/>
      <c r="L307" s="34"/>
      <c r="M307" s="34"/>
      <c r="N307" s="34"/>
      <c r="O307" s="34"/>
      <c r="P307" s="34"/>
      <c r="Q307" s="34"/>
      <c r="R307" s="34"/>
      <c r="S307" s="35"/>
      <c r="T307" s="35"/>
      <c r="U307" s="35"/>
      <c r="V307" s="126"/>
      <c r="W307" s="127"/>
      <c r="X307" s="128"/>
      <c r="Y307" s="7"/>
    </row>
    <row r="308" ht="16.5" customHeight="1">
      <c r="A308" s="79"/>
      <c r="B308" s="141"/>
      <c r="C308" s="142"/>
      <c r="D308" s="143"/>
      <c r="E308" s="143"/>
      <c r="F308" s="143"/>
      <c r="G308" s="143"/>
      <c r="H308" s="34"/>
      <c r="I308" s="34"/>
      <c r="J308" s="34"/>
      <c r="K308" s="34"/>
      <c r="L308" s="34"/>
      <c r="M308" s="34"/>
      <c r="N308" s="34"/>
      <c r="O308" s="34"/>
      <c r="P308" s="34"/>
      <c r="Q308" s="34"/>
      <c r="R308" s="34"/>
      <c r="S308" s="35"/>
      <c r="T308" s="35"/>
      <c r="U308" s="35"/>
      <c r="V308" s="126"/>
      <c r="W308" s="127"/>
      <c r="X308" s="128"/>
      <c r="Y308" s="7"/>
    </row>
    <row r="309" ht="16.5" customHeight="1">
      <c r="A309" s="79"/>
      <c r="B309" s="141"/>
      <c r="C309" s="142"/>
      <c r="D309" s="143"/>
      <c r="E309" s="143"/>
      <c r="F309" s="143"/>
      <c r="G309" s="143"/>
      <c r="H309" s="34"/>
      <c r="I309" s="34"/>
      <c r="J309" s="34"/>
      <c r="K309" s="34"/>
      <c r="L309" s="34"/>
      <c r="M309" s="34"/>
      <c r="N309" s="34"/>
      <c r="O309" s="34"/>
      <c r="P309" s="34"/>
      <c r="Q309" s="34"/>
      <c r="R309" s="34"/>
      <c r="S309" s="35"/>
      <c r="T309" s="35"/>
      <c r="U309" s="35"/>
      <c r="V309" s="126"/>
      <c r="W309" s="127"/>
      <c r="X309" s="128"/>
      <c r="Y309" s="7"/>
    </row>
    <row r="310" ht="16.5" customHeight="1">
      <c r="A310" s="79"/>
      <c r="B310" s="141"/>
      <c r="C310" s="142"/>
      <c r="D310" s="143"/>
      <c r="E310" s="143"/>
      <c r="F310" s="143"/>
      <c r="G310" s="143"/>
      <c r="H310" s="34"/>
      <c r="I310" s="34"/>
      <c r="J310" s="34"/>
      <c r="K310" s="34"/>
      <c r="L310" s="34"/>
      <c r="M310" s="34"/>
      <c r="N310" s="34"/>
      <c r="O310" s="34"/>
      <c r="P310" s="34"/>
      <c r="Q310" s="34"/>
      <c r="R310" s="34"/>
      <c r="S310" s="35"/>
      <c r="T310" s="35"/>
      <c r="U310" s="35"/>
      <c r="V310" s="126"/>
      <c r="W310" s="127"/>
      <c r="X310" s="128"/>
      <c r="Y310" s="7"/>
    </row>
    <row r="311" ht="16.5" customHeight="1">
      <c r="A311" s="79"/>
      <c r="B311" s="141"/>
      <c r="C311" s="142"/>
      <c r="D311" s="143"/>
      <c r="E311" s="143"/>
      <c r="F311" s="143"/>
      <c r="G311" s="143"/>
      <c r="H311" s="34"/>
      <c r="I311" s="34"/>
      <c r="J311" s="34"/>
      <c r="K311" s="34"/>
      <c r="L311" s="34"/>
      <c r="M311" s="34"/>
      <c r="N311" s="34"/>
      <c r="O311" s="34"/>
      <c r="P311" s="34"/>
      <c r="Q311" s="34"/>
      <c r="R311" s="34"/>
      <c r="S311" s="35"/>
      <c r="T311" s="35"/>
      <c r="U311" s="35"/>
      <c r="V311" s="126"/>
      <c r="W311" s="127"/>
      <c r="X311" s="128"/>
      <c r="Y311" s="7"/>
    </row>
    <row r="312" ht="16.5" customHeight="1">
      <c r="A312" s="79"/>
      <c r="B312" s="141"/>
      <c r="C312" s="142"/>
      <c r="D312" s="143"/>
      <c r="E312" s="143"/>
      <c r="F312" s="143"/>
      <c r="G312" s="143"/>
      <c r="H312" s="34"/>
      <c r="I312" s="34"/>
      <c r="J312" s="34"/>
      <c r="K312" s="34"/>
      <c r="L312" s="34"/>
      <c r="M312" s="34"/>
      <c r="N312" s="34"/>
      <c r="O312" s="34"/>
      <c r="P312" s="34"/>
      <c r="Q312" s="34"/>
      <c r="R312" s="34"/>
      <c r="S312" s="35"/>
      <c r="T312" s="35"/>
      <c r="U312" s="35"/>
      <c r="V312" s="126"/>
      <c r="W312" s="127"/>
      <c r="X312" s="128"/>
      <c r="Y312" s="7"/>
    </row>
    <row r="313" ht="16.5" customHeight="1">
      <c r="A313" s="79"/>
      <c r="B313" s="141"/>
      <c r="C313" s="142"/>
      <c r="D313" s="143"/>
      <c r="E313" s="143"/>
      <c r="F313" s="143"/>
      <c r="G313" s="143"/>
      <c r="H313" s="34"/>
      <c r="I313" s="34"/>
      <c r="J313" s="34"/>
      <c r="K313" s="34"/>
      <c r="L313" s="34"/>
      <c r="M313" s="34"/>
      <c r="N313" s="34"/>
      <c r="O313" s="34"/>
      <c r="P313" s="34"/>
      <c r="Q313" s="34"/>
      <c r="R313" s="34"/>
      <c r="S313" s="35"/>
      <c r="T313" s="35"/>
      <c r="U313" s="35"/>
      <c r="V313" s="126"/>
      <c r="W313" s="127"/>
      <c r="X313" s="128"/>
      <c r="Y313" s="7"/>
    </row>
    <row r="314" ht="16.5" customHeight="1">
      <c r="A314" s="79"/>
      <c r="B314" s="141"/>
      <c r="C314" s="142"/>
      <c r="D314" s="143"/>
      <c r="E314" s="143"/>
      <c r="F314" s="143"/>
      <c r="G314" s="143"/>
      <c r="H314" s="34"/>
      <c r="I314" s="34"/>
      <c r="J314" s="34"/>
      <c r="K314" s="34"/>
      <c r="L314" s="34"/>
      <c r="M314" s="34"/>
      <c r="N314" s="34"/>
      <c r="O314" s="34"/>
      <c r="P314" s="34"/>
      <c r="Q314" s="34"/>
      <c r="R314" s="34"/>
      <c r="S314" s="35"/>
      <c r="T314" s="35"/>
      <c r="U314" s="35"/>
      <c r="V314" s="126"/>
      <c r="W314" s="127"/>
      <c r="X314" s="128"/>
      <c r="Y314" s="7"/>
    </row>
    <row r="315" ht="16.5" customHeight="1">
      <c r="A315" s="79"/>
      <c r="B315" s="141"/>
      <c r="C315" s="142"/>
      <c r="D315" s="143"/>
      <c r="E315" s="143"/>
      <c r="F315" s="143"/>
      <c r="G315" s="143"/>
      <c r="H315" s="34"/>
      <c r="I315" s="34"/>
      <c r="J315" s="34"/>
      <c r="K315" s="34"/>
      <c r="L315" s="34"/>
      <c r="M315" s="34"/>
      <c r="N315" s="34"/>
      <c r="O315" s="34"/>
      <c r="P315" s="34"/>
      <c r="Q315" s="34"/>
      <c r="R315" s="34"/>
      <c r="S315" s="35"/>
      <c r="T315" s="35"/>
      <c r="U315" s="35"/>
      <c r="V315" s="126"/>
      <c r="W315" s="127"/>
      <c r="X315" s="128"/>
      <c r="Y315" s="7"/>
    </row>
    <row r="316" ht="16.5" customHeight="1">
      <c r="A316" s="79"/>
      <c r="B316" s="141"/>
      <c r="C316" s="142"/>
      <c r="D316" s="143"/>
      <c r="E316" s="143"/>
      <c r="F316" s="143"/>
      <c r="G316" s="143"/>
      <c r="H316" s="34"/>
      <c r="I316" s="34"/>
      <c r="J316" s="34"/>
      <c r="K316" s="34"/>
      <c r="L316" s="34"/>
      <c r="M316" s="34"/>
      <c r="N316" s="34"/>
      <c r="O316" s="34"/>
      <c r="P316" s="34"/>
      <c r="Q316" s="34"/>
      <c r="R316" s="34"/>
      <c r="S316" s="35"/>
      <c r="T316" s="35"/>
      <c r="U316" s="35"/>
      <c r="V316" s="126"/>
      <c r="W316" s="127"/>
      <c r="X316" s="128"/>
      <c r="Y316" s="7"/>
    </row>
    <row r="317" ht="16.5" customHeight="1">
      <c r="A317" s="79"/>
      <c r="B317" s="141"/>
      <c r="C317" s="142"/>
      <c r="D317" s="143"/>
      <c r="E317" s="143"/>
      <c r="F317" s="143"/>
      <c r="G317" s="143"/>
      <c r="H317" s="34"/>
      <c r="I317" s="34"/>
      <c r="J317" s="34"/>
      <c r="K317" s="34"/>
      <c r="L317" s="34"/>
      <c r="M317" s="34"/>
      <c r="N317" s="34"/>
      <c r="O317" s="34"/>
      <c r="P317" s="34"/>
      <c r="Q317" s="34"/>
      <c r="R317" s="34"/>
      <c r="S317" s="35"/>
      <c r="T317" s="35"/>
      <c r="U317" s="35"/>
      <c r="V317" s="126"/>
      <c r="W317" s="127"/>
      <c r="X317" s="128"/>
      <c r="Y317" s="7"/>
    </row>
    <row r="318" ht="16.5" customHeight="1">
      <c r="A318" s="79"/>
      <c r="B318" s="141"/>
      <c r="C318" s="142"/>
      <c r="D318" s="143"/>
      <c r="E318" s="143"/>
      <c r="F318" s="143"/>
      <c r="G318" s="143"/>
      <c r="H318" s="34"/>
      <c r="I318" s="34"/>
      <c r="J318" s="34"/>
      <c r="K318" s="34"/>
      <c r="L318" s="34"/>
      <c r="M318" s="34"/>
      <c r="N318" s="34"/>
      <c r="O318" s="34"/>
      <c r="P318" s="34"/>
      <c r="Q318" s="34"/>
      <c r="R318" s="34"/>
      <c r="S318" s="35"/>
      <c r="T318" s="35"/>
      <c r="U318" s="35"/>
      <c r="V318" s="126"/>
      <c r="W318" s="127"/>
      <c r="X318" s="128"/>
      <c r="Y318" s="7"/>
    </row>
    <row r="319" ht="16.5" customHeight="1">
      <c r="A319" s="79"/>
      <c r="B319" s="141"/>
      <c r="C319" s="142"/>
      <c r="D319" s="143"/>
      <c r="E319" s="143"/>
      <c r="F319" s="143"/>
      <c r="G319" s="143"/>
      <c r="H319" s="34"/>
      <c r="I319" s="34"/>
      <c r="J319" s="34"/>
      <c r="K319" s="34"/>
      <c r="L319" s="34"/>
      <c r="M319" s="34"/>
      <c r="N319" s="34"/>
      <c r="O319" s="34"/>
      <c r="P319" s="34"/>
      <c r="Q319" s="34"/>
      <c r="R319" s="34"/>
      <c r="S319" s="35"/>
      <c r="T319" s="35"/>
      <c r="U319" s="35"/>
      <c r="V319" s="126"/>
      <c r="W319" s="127"/>
      <c r="X319" s="128"/>
      <c r="Y319" s="7"/>
    </row>
    <row r="320" ht="16.5" customHeight="1">
      <c r="A320" s="79"/>
      <c r="B320" s="141"/>
      <c r="C320" s="142"/>
      <c r="D320" s="143"/>
      <c r="E320" s="143"/>
      <c r="F320" s="143"/>
      <c r="G320" s="143"/>
      <c r="H320" s="34"/>
      <c r="I320" s="34"/>
      <c r="J320" s="34"/>
      <c r="K320" s="34"/>
      <c r="L320" s="34"/>
      <c r="M320" s="34"/>
      <c r="N320" s="34"/>
      <c r="O320" s="34"/>
      <c r="P320" s="34"/>
      <c r="Q320" s="34"/>
      <c r="R320" s="34"/>
      <c r="S320" s="35"/>
      <c r="T320" s="35"/>
      <c r="U320" s="35"/>
      <c r="V320" s="126"/>
      <c r="W320" s="127"/>
      <c r="X320" s="128"/>
      <c r="Y320" s="7"/>
    </row>
    <row r="321" ht="16.5" customHeight="1">
      <c r="A321" s="79"/>
      <c r="B321" s="141"/>
      <c r="C321" s="142"/>
      <c r="D321" s="143"/>
      <c r="E321" s="143"/>
      <c r="F321" s="143"/>
      <c r="G321" s="143"/>
      <c r="H321" s="34"/>
      <c r="I321" s="34"/>
      <c r="J321" s="34"/>
      <c r="K321" s="34"/>
      <c r="L321" s="34"/>
      <c r="M321" s="34"/>
      <c r="N321" s="34"/>
      <c r="O321" s="34"/>
      <c r="P321" s="34"/>
      <c r="Q321" s="34"/>
      <c r="R321" s="34"/>
      <c r="S321" s="35"/>
      <c r="T321" s="35"/>
      <c r="U321" s="35"/>
      <c r="V321" s="126"/>
      <c r="W321" s="127"/>
      <c r="X321" s="128"/>
      <c r="Y321" s="7"/>
    </row>
    <row r="322" ht="16.5" customHeight="1">
      <c r="A322" s="79"/>
      <c r="B322" s="141"/>
      <c r="C322" s="142"/>
      <c r="D322" s="143"/>
      <c r="E322" s="143"/>
      <c r="F322" s="143"/>
      <c r="G322" s="143"/>
      <c r="H322" s="34"/>
      <c r="I322" s="34"/>
      <c r="J322" s="34"/>
      <c r="K322" s="34"/>
      <c r="L322" s="34"/>
      <c r="M322" s="34"/>
      <c r="N322" s="34"/>
      <c r="O322" s="34"/>
      <c r="P322" s="34"/>
      <c r="Q322" s="34"/>
      <c r="R322" s="34"/>
      <c r="S322" s="35"/>
      <c r="T322" s="35"/>
      <c r="U322" s="35"/>
      <c r="V322" s="126"/>
      <c r="W322" s="127"/>
      <c r="X322" s="128"/>
      <c r="Y322" s="7"/>
    </row>
    <row r="323" ht="16.5" customHeight="1">
      <c r="A323" s="79"/>
      <c r="B323" s="141"/>
      <c r="C323" s="142"/>
      <c r="D323" s="143"/>
      <c r="E323" s="143"/>
      <c r="F323" s="143"/>
      <c r="G323" s="143"/>
      <c r="H323" s="34"/>
      <c r="I323" s="34"/>
      <c r="J323" s="34"/>
      <c r="K323" s="34"/>
      <c r="L323" s="34"/>
      <c r="M323" s="34"/>
      <c r="N323" s="34"/>
      <c r="O323" s="34"/>
      <c r="P323" s="34"/>
      <c r="Q323" s="34"/>
      <c r="R323" s="34"/>
      <c r="S323" s="35"/>
      <c r="T323" s="35"/>
      <c r="U323" s="35"/>
      <c r="V323" s="126"/>
      <c r="W323" s="127"/>
      <c r="X323" s="128"/>
      <c r="Y323" s="7"/>
    </row>
    <row r="324" ht="16.5" customHeight="1">
      <c r="A324" s="79"/>
      <c r="B324" s="141"/>
      <c r="C324" s="142"/>
      <c r="D324" s="143"/>
      <c r="E324" s="143"/>
      <c r="F324" s="143"/>
      <c r="G324" s="143"/>
      <c r="H324" s="34"/>
      <c r="I324" s="34"/>
      <c r="J324" s="34"/>
      <c r="K324" s="34"/>
      <c r="L324" s="34"/>
      <c r="M324" s="34"/>
      <c r="N324" s="34"/>
      <c r="O324" s="34"/>
      <c r="P324" s="34"/>
      <c r="Q324" s="34"/>
      <c r="R324" s="34"/>
      <c r="S324" s="35"/>
      <c r="T324" s="35"/>
      <c r="U324" s="35"/>
      <c r="V324" s="126"/>
      <c r="W324" s="127"/>
      <c r="X324" s="128"/>
      <c r="Y324" s="7"/>
    </row>
    <row r="325" ht="16.5" customHeight="1">
      <c r="A325" s="79"/>
      <c r="B325" s="141"/>
      <c r="C325" s="142"/>
      <c r="D325" s="143"/>
      <c r="E325" s="143"/>
      <c r="F325" s="143"/>
      <c r="G325" s="143"/>
      <c r="H325" s="34"/>
      <c r="I325" s="34"/>
      <c r="J325" s="34"/>
      <c r="K325" s="34"/>
      <c r="L325" s="34"/>
      <c r="M325" s="34"/>
      <c r="N325" s="34"/>
      <c r="O325" s="34"/>
      <c r="P325" s="34"/>
      <c r="Q325" s="34"/>
      <c r="R325" s="34"/>
      <c r="S325" s="35"/>
      <c r="T325" s="35"/>
      <c r="U325" s="35"/>
      <c r="V325" s="126"/>
      <c r="W325" s="127"/>
      <c r="X325" s="128"/>
      <c r="Y325" s="7"/>
    </row>
    <row r="326" ht="16.5" customHeight="1">
      <c r="A326" s="79"/>
      <c r="B326" s="141"/>
      <c r="C326" s="142"/>
      <c r="D326" s="143"/>
      <c r="E326" s="143"/>
      <c r="F326" s="143"/>
      <c r="G326" s="143"/>
      <c r="H326" s="34"/>
      <c r="I326" s="34"/>
      <c r="J326" s="34"/>
      <c r="K326" s="34"/>
      <c r="L326" s="34"/>
      <c r="M326" s="34"/>
      <c r="N326" s="34"/>
      <c r="O326" s="34"/>
      <c r="P326" s="34"/>
      <c r="Q326" s="34"/>
      <c r="R326" s="34"/>
      <c r="S326" s="35"/>
      <c r="T326" s="35"/>
      <c r="U326" s="35"/>
      <c r="V326" s="126"/>
      <c r="W326" s="127"/>
      <c r="X326" s="128"/>
      <c r="Y326" s="7"/>
    </row>
    <row r="327" ht="16.5" customHeight="1">
      <c r="A327" s="79"/>
      <c r="B327" s="141"/>
      <c r="C327" s="142"/>
      <c r="D327" s="143"/>
      <c r="E327" s="143"/>
      <c r="F327" s="143"/>
      <c r="G327" s="143"/>
      <c r="H327" s="34"/>
      <c r="I327" s="34"/>
      <c r="J327" s="34"/>
      <c r="K327" s="34"/>
      <c r="L327" s="34"/>
      <c r="M327" s="34"/>
      <c r="N327" s="34"/>
      <c r="O327" s="34"/>
      <c r="P327" s="34"/>
      <c r="Q327" s="34"/>
      <c r="R327" s="34"/>
      <c r="S327" s="35"/>
      <c r="T327" s="35"/>
      <c r="U327" s="35"/>
      <c r="V327" s="126"/>
      <c r="W327" s="127"/>
      <c r="X327" s="128"/>
      <c r="Y327" s="7"/>
    </row>
    <row r="328" ht="16.5" customHeight="1">
      <c r="A328" s="79"/>
      <c r="B328" s="141"/>
      <c r="C328" s="142"/>
      <c r="D328" s="143"/>
      <c r="E328" s="143"/>
      <c r="F328" s="143"/>
      <c r="G328" s="143"/>
      <c r="H328" s="34"/>
      <c r="I328" s="34"/>
      <c r="J328" s="34"/>
      <c r="K328" s="34"/>
      <c r="L328" s="34"/>
      <c r="M328" s="34"/>
      <c r="N328" s="34"/>
      <c r="O328" s="34"/>
      <c r="P328" s="34"/>
      <c r="Q328" s="34"/>
      <c r="R328" s="34"/>
      <c r="S328" s="35"/>
      <c r="T328" s="35"/>
      <c r="U328" s="35"/>
      <c r="V328" s="126"/>
      <c r="W328" s="127"/>
      <c r="X328" s="128"/>
      <c r="Y328" s="7"/>
    </row>
    <row r="329" ht="16.5" customHeight="1">
      <c r="A329" s="79"/>
      <c r="B329" s="141"/>
      <c r="C329" s="142"/>
      <c r="D329" s="143"/>
      <c r="E329" s="143"/>
      <c r="F329" s="143"/>
      <c r="G329" s="143"/>
      <c r="H329" s="34"/>
      <c r="I329" s="34"/>
      <c r="J329" s="34"/>
      <c r="K329" s="34"/>
      <c r="L329" s="34"/>
      <c r="M329" s="34"/>
      <c r="N329" s="34"/>
      <c r="O329" s="34"/>
      <c r="P329" s="34"/>
      <c r="Q329" s="34"/>
      <c r="R329" s="34"/>
      <c r="S329" s="35"/>
      <c r="T329" s="35"/>
      <c r="U329" s="35"/>
      <c r="V329" s="126"/>
      <c r="W329" s="127"/>
      <c r="X329" s="128"/>
      <c r="Y329" s="7"/>
    </row>
    <row r="330" ht="16.5" customHeight="1">
      <c r="A330" s="79"/>
      <c r="B330" s="141"/>
      <c r="C330" s="142"/>
      <c r="D330" s="143"/>
      <c r="E330" s="143"/>
      <c r="F330" s="143"/>
      <c r="G330" s="143"/>
      <c r="H330" s="34"/>
      <c r="I330" s="34"/>
      <c r="J330" s="34"/>
      <c r="K330" s="34"/>
      <c r="L330" s="34"/>
      <c r="M330" s="34"/>
      <c r="N330" s="34"/>
      <c r="O330" s="34"/>
      <c r="P330" s="34"/>
      <c r="Q330" s="34"/>
      <c r="R330" s="34"/>
      <c r="S330" s="35"/>
      <c r="T330" s="35"/>
      <c r="U330" s="35"/>
      <c r="V330" s="126"/>
      <c r="W330" s="127"/>
      <c r="X330" s="128"/>
      <c r="Y330" s="7"/>
    </row>
    <row r="331" ht="16.5" customHeight="1">
      <c r="A331" s="79"/>
      <c r="B331" s="141"/>
      <c r="C331" s="142"/>
      <c r="D331" s="143"/>
      <c r="E331" s="143"/>
      <c r="F331" s="143"/>
      <c r="G331" s="143"/>
      <c r="H331" s="34"/>
      <c r="I331" s="34"/>
      <c r="J331" s="34"/>
      <c r="K331" s="34"/>
      <c r="L331" s="34"/>
      <c r="M331" s="34"/>
      <c r="N331" s="34"/>
      <c r="O331" s="34"/>
      <c r="P331" s="34"/>
      <c r="Q331" s="34"/>
      <c r="R331" s="34"/>
      <c r="S331" s="35"/>
      <c r="T331" s="35"/>
      <c r="U331" s="35"/>
      <c r="V331" s="126"/>
      <c r="W331" s="127"/>
      <c r="X331" s="128"/>
      <c r="Y331" s="7"/>
    </row>
    <row r="332" ht="16.5" customHeight="1">
      <c r="A332" s="79"/>
      <c r="B332" s="141"/>
      <c r="C332" s="142"/>
      <c r="D332" s="143"/>
      <c r="E332" s="143"/>
      <c r="F332" s="143"/>
      <c r="G332" s="143"/>
      <c r="H332" s="34"/>
      <c r="I332" s="34"/>
      <c r="J332" s="34"/>
      <c r="K332" s="34"/>
      <c r="L332" s="34"/>
      <c r="M332" s="34"/>
      <c r="N332" s="34"/>
      <c r="O332" s="34"/>
      <c r="P332" s="34"/>
      <c r="Q332" s="34"/>
      <c r="R332" s="34"/>
      <c r="S332" s="35"/>
      <c r="T332" s="35"/>
      <c r="U332" s="35"/>
      <c r="V332" s="126"/>
      <c r="W332" s="127"/>
      <c r="X332" s="128"/>
      <c r="Y332" s="7"/>
    </row>
    <row r="333" ht="16.5" customHeight="1">
      <c r="A333" s="79"/>
      <c r="B333" s="141"/>
      <c r="C333" s="142"/>
      <c r="D333" s="143"/>
      <c r="E333" s="143"/>
      <c r="F333" s="143"/>
      <c r="G333" s="143"/>
      <c r="H333" s="34"/>
      <c r="I333" s="34"/>
      <c r="J333" s="34"/>
      <c r="K333" s="34"/>
      <c r="L333" s="34"/>
      <c r="M333" s="34"/>
      <c r="N333" s="34"/>
      <c r="O333" s="34"/>
      <c r="P333" s="34"/>
      <c r="Q333" s="34"/>
      <c r="R333" s="34"/>
      <c r="S333" s="35"/>
      <c r="T333" s="35"/>
      <c r="U333" s="35"/>
      <c r="V333" s="126"/>
      <c r="W333" s="127"/>
      <c r="X333" s="128"/>
      <c r="Y333" s="7"/>
    </row>
    <row r="334" ht="16.5" customHeight="1">
      <c r="A334" s="79"/>
      <c r="B334" s="141"/>
      <c r="C334" s="142"/>
      <c r="D334" s="143"/>
      <c r="E334" s="143"/>
      <c r="F334" s="143"/>
      <c r="G334" s="143"/>
      <c r="H334" s="34"/>
      <c r="I334" s="34"/>
      <c r="J334" s="34"/>
      <c r="K334" s="34"/>
      <c r="L334" s="34"/>
      <c r="M334" s="34"/>
      <c r="N334" s="34"/>
      <c r="O334" s="34"/>
      <c r="P334" s="34"/>
      <c r="Q334" s="34"/>
      <c r="R334" s="34"/>
      <c r="S334" s="35"/>
      <c r="T334" s="35"/>
      <c r="U334" s="35"/>
      <c r="V334" s="126"/>
      <c r="W334" s="127"/>
      <c r="X334" s="128"/>
      <c r="Y334" s="7"/>
    </row>
    <row r="335" ht="16.5" customHeight="1">
      <c r="A335" s="79"/>
      <c r="B335" s="141"/>
      <c r="C335" s="142"/>
      <c r="D335" s="143"/>
      <c r="E335" s="143"/>
      <c r="F335" s="143"/>
      <c r="G335" s="143"/>
      <c r="H335" s="34"/>
      <c r="I335" s="34"/>
      <c r="J335" s="34"/>
      <c r="K335" s="34"/>
      <c r="L335" s="34"/>
      <c r="M335" s="34"/>
      <c r="N335" s="34"/>
      <c r="O335" s="34"/>
      <c r="P335" s="34"/>
      <c r="Q335" s="34"/>
      <c r="R335" s="34"/>
      <c r="S335" s="35"/>
      <c r="T335" s="35"/>
      <c r="U335" s="35"/>
      <c r="V335" s="126"/>
      <c r="W335" s="127"/>
      <c r="X335" s="128"/>
      <c r="Y335" s="7"/>
    </row>
    <row r="336" ht="16.5" customHeight="1">
      <c r="A336" s="79"/>
      <c r="B336" s="141"/>
      <c r="C336" s="142"/>
      <c r="D336" s="143"/>
      <c r="E336" s="143"/>
      <c r="F336" s="143"/>
      <c r="G336" s="143"/>
      <c r="H336" s="34"/>
      <c r="I336" s="34"/>
      <c r="J336" s="34"/>
      <c r="K336" s="34"/>
      <c r="L336" s="34"/>
      <c r="M336" s="34"/>
      <c r="N336" s="34"/>
      <c r="O336" s="34"/>
      <c r="P336" s="34"/>
      <c r="Q336" s="34"/>
      <c r="R336" s="34"/>
      <c r="S336" s="35"/>
      <c r="T336" s="35"/>
      <c r="U336" s="35"/>
      <c r="V336" s="126"/>
      <c r="W336" s="127"/>
      <c r="X336" s="128"/>
      <c r="Y336" s="7"/>
    </row>
    <row r="337" ht="16.5" customHeight="1">
      <c r="A337" s="79"/>
      <c r="B337" s="141"/>
      <c r="C337" s="142"/>
      <c r="D337" s="143"/>
      <c r="E337" s="143"/>
      <c r="F337" s="143"/>
      <c r="G337" s="143"/>
      <c r="H337" s="34"/>
      <c r="I337" s="34"/>
      <c r="J337" s="34"/>
      <c r="K337" s="34"/>
      <c r="L337" s="34"/>
      <c r="M337" s="34"/>
      <c r="N337" s="34"/>
      <c r="O337" s="34"/>
      <c r="P337" s="34"/>
      <c r="Q337" s="34"/>
      <c r="R337" s="34"/>
      <c r="S337" s="35"/>
      <c r="T337" s="35"/>
      <c r="U337" s="35"/>
      <c r="V337" s="126"/>
      <c r="W337" s="127"/>
      <c r="X337" s="128"/>
      <c r="Y337" s="7"/>
    </row>
    <row r="338" ht="16.5" customHeight="1">
      <c r="A338" s="79"/>
      <c r="B338" s="141"/>
      <c r="C338" s="142"/>
      <c r="D338" s="143"/>
      <c r="E338" s="143"/>
      <c r="F338" s="143"/>
      <c r="G338" s="143"/>
      <c r="H338" s="34"/>
      <c r="I338" s="34"/>
      <c r="J338" s="34"/>
      <c r="K338" s="34"/>
      <c r="L338" s="34"/>
      <c r="M338" s="34"/>
      <c r="N338" s="34"/>
      <c r="O338" s="34"/>
      <c r="P338" s="34"/>
      <c r="Q338" s="34"/>
      <c r="R338" s="34"/>
      <c r="S338" s="35"/>
      <c r="T338" s="35"/>
      <c r="U338" s="35"/>
      <c r="V338" s="126"/>
      <c r="W338" s="127"/>
      <c r="X338" s="128"/>
      <c r="Y338" s="7"/>
    </row>
    <row r="339" ht="16.5" customHeight="1">
      <c r="A339" s="79"/>
      <c r="B339" s="141"/>
      <c r="C339" s="142"/>
      <c r="D339" s="143"/>
      <c r="E339" s="143"/>
      <c r="F339" s="143"/>
      <c r="G339" s="143"/>
      <c r="H339" s="34"/>
      <c r="I339" s="34"/>
      <c r="J339" s="34"/>
      <c r="K339" s="34"/>
      <c r="L339" s="34"/>
      <c r="M339" s="34"/>
      <c r="N339" s="34"/>
      <c r="O339" s="34"/>
      <c r="P339" s="34"/>
      <c r="Q339" s="34"/>
      <c r="R339" s="34"/>
      <c r="S339" s="35"/>
      <c r="T339" s="35"/>
      <c r="U339" s="35"/>
      <c r="V339" s="126"/>
      <c r="W339" s="127"/>
      <c r="X339" s="128"/>
      <c r="Y339" s="7"/>
    </row>
    <row r="340" ht="16.5" customHeight="1">
      <c r="A340" s="79"/>
      <c r="B340" s="141"/>
      <c r="C340" s="142"/>
      <c r="D340" s="143"/>
      <c r="E340" s="143"/>
      <c r="F340" s="143"/>
      <c r="G340" s="143"/>
      <c r="H340" s="34"/>
      <c r="I340" s="34"/>
      <c r="J340" s="34"/>
      <c r="K340" s="34"/>
      <c r="L340" s="34"/>
      <c r="M340" s="34"/>
      <c r="N340" s="34"/>
      <c r="O340" s="34"/>
      <c r="P340" s="34"/>
      <c r="Q340" s="34"/>
      <c r="R340" s="34"/>
      <c r="S340" s="35"/>
      <c r="T340" s="35"/>
      <c r="U340" s="35"/>
      <c r="V340" s="126"/>
      <c r="W340" s="127"/>
      <c r="X340" s="128"/>
      <c r="Y340" s="7"/>
    </row>
    <row r="341" ht="16.5" customHeight="1">
      <c r="A341" s="79"/>
      <c r="B341" s="141"/>
      <c r="C341" s="142"/>
      <c r="D341" s="143"/>
      <c r="E341" s="143"/>
      <c r="F341" s="143"/>
      <c r="G341" s="143"/>
      <c r="H341" s="34"/>
      <c r="I341" s="34"/>
      <c r="J341" s="34"/>
      <c r="K341" s="34"/>
      <c r="L341" s="34"/>
      <c r="M341" s="34"/>
      <c r="N341" s="34"/>
      <c r="O341" s="34"/>
      <c r="P341" s="34"/>
      <c r="Q341" s="34"/>
      <c r="R341" s="34"/>
      <c r="S341" s="35"/>
      <c r="T341" s="35"/>
      <c r="U341" s="35"/>
      <c r="V341" s="126"/>
      <c r="W341" s="127"/>
      <c r="X341" s="128"/>
      <c r="Y341" s="7"/>
    </row>
    <row r="342" ht="13.55" customHeight="1">
      <c r="A342" s="79"/>
      <c r="B342" t="s" s="80">
        <v>8</v>
      </c>
      <c r="C342" t="s" s="80">
        <v>8</v>
      </c>
      <c r="D342" t="s" s="80">
        <v>8</v>
      </c>
      <c r="E342" t="s" s="80">
        <v>8</v>
      </c>
      <c r="F342" t="s" s="80">
        <v>8</v>
      </c>
      <c r="G342" t="s" s="80">
        <v>8</v>
      </c>
      <c r="H342" s="34" cm="1">
        <f t="array" ref="H342">H25+H56+H98+H130+H155+H191+H218+H242+H275+H300</f>
        <v>1400</v>
      </c>
      <c r="I342" s="34" cm="1">
        <f t="array" ref="I342">I25+I56+I98+I130+I155+I191+I218+I242+I275+I300</f>
        <v>4640</v>
      </c>
      <c r="J342" s="34" cm="1">
        <f t="array" ref="J342">J25+J56+J98+J130+J155+J191+J218+J242+J275+J300</f>
        <v>6032</v>
      </c>
      <c r="K342" s="34" cm="1">
        <f t="array" ref="K342">K25+K56+K98+K130+K155+K191+K218+K242+K275+K300</f>
        <v>13272.32</v>
      </c>
      <c r="L342" s="34" cm="1">
        <f t="array" ref="L342">L25+L56+L98+L130+L155+L191+L218+L242+L275+L300</f>
        <v>9340</v>
      </c>
      <c r="M342" s="34" cm="1">
        <f t="array" ref="M342">M25+M56+M98+M130+M155+M191+M218+M242+M275+M300</f>
        <v>266130.7</v>
      </c>
      <c r="N342" s="34" cm="1">
        <f t="array" ref="N342">N25+N56+N98+N130+N155+N191+N218+N242+N275+N300</f>
        <v>461850</v>
      </c>
      <c r="O342" s="34" cm="1">
        <f t="array" ref="O342">O25+O56+O98+O130+O155+O191+O218+O242+O275+O300</f>
        <v>42409.98</v>
      </c>
      <c r="P342" s="34" cm="1">
        <f t="array" ref="P342">P25+P56+P98+P130+P155+P191+P218+P242+P275+P300</f>
        <v>4810.72</v>
      </c>
      <c r="Q342" s="34" cm="1">
        <f t="array" ref="Q342">Q25+Q56+Q98+Q130+Q155+Q191+Q218+Q242+Q275+Q300</f>
        <v>18623.46</v>
      </c>
      <c r="R342" s="34" cm="1">
        <f t="array" ref="R342">R25+R56+R98+R130+R155+R191+R218+R242+R275+R300</f>
        <v>231360</v>
      </c>
      <c r="S342" s="34" cm="1">
        <f t="array" ref="S342">S25+S56+S98+S130+S155+S191+S218+S242+S275+S300</f>
        <v>79554.350000000006</v>
      </c>
      <c r="T342" s="34" cm="1">
        <f t="array" ref="T342">T25+T56+T98+T130+T155+T191+T218+T242+T275+T300</f>
        <v>509610.18</v>
      </c>
      <c r="U342" s="34" cm="1">
        <f t="array" ref="U342">U25+U56+U98+U130+U155+U191+U218+U242+U275+U300</f>
        <v>40405.1</v>
      </c>
      <c r="V342" s="34" cm="1">
        <f t="array" ref="V342">V25+V56+V98+V130+V155+V191+V218+V242+V275+V300</f>
        <v>246346</v>
      </c>
      <c r="W342" s="140" cm="1">
        <f t="array" ref="W342">W25+W56+W98+W130+W155+W191+W218+W242+W275+W300</f>
        <v>12617.91</v>
      </c>
      <c r="X342" s="128"/>
      <c r="Y342" s="144" cm="1">
        <f t="array" ref="Y342">W342+V342+U342+T342+S342+R342+Q342+P342+O342+N342+M342+L342+K342+J342+I342+H342</f>
        <v>1948402.72</v>
      </c>
    </row>
    <row r="343" ht="13.55" customHeight="1">
      <c r="A343" s="79"/>
      <c r="B343" s="35"/>
      <c r="C343" s="35"/>
      <c r="D343" s="35"/>
      <c r="E343" s="35"/>
      <c r="F343" s="35"/>
      <c r="G343" s="35"/>
      <c r="H343" s="35"/>
      <c r="I343" s="35"/>
      <c r="J343" s="35"/>
      <c r="K343" s="35"/>
      <c r="L343" s="35"/>
      <c r="M343" s="35"/>
      <c r="N343" s="35"/>
      <c r="O343" s="35"/>
      <c r="P343" s="35"/>
      <c r="Q343" s="35"/>
      <c r="R343" s="35"/>
      <c r="S343" s="35"/>
      <c r="T343" s="35"/>
      <c r="U343" s="35"/>
      <c r="V343" s="126"/>
      <c r="W343" s="127"/>
      <c r="X343" s="128"/>
      <c r="Y343" s="7"/>
    </row>
    <row r="344" ht="13.55" customHeight="1">
      <c r="A344" s="79"/>
      <c r="B344" s="35"/>
      <c r="C344" s="35"/>
      <c r="D344" s="35"/>
      <c r="E344" s="35"/>
      <c r="F344" s="35"/>
      <c r="G344" s="35"/>
      <c r="H344" s="35"/>
      <c r="I344" s="35"/>
      <c r="J344" s="35"/>
      <c r="K344" s="35"/>
      <c r="L344" t="s" s="80">
        <v>362</v>
      </c>
      <c r="M344" s="34" cm="1">
        <f t="array" ref="M344">15000+15000+15000+15000+15000+15000+14003+14003+14003+7001.5</f>
        <v>139010.5</v>
      </c>
      <c r="N344" s="35"/>
      <c r="O344" s="35"/>
      <c r="P344" s="35"/>
      <c r="Q344" s="35"/>
      <c r="R344" s="35"/>
      <c r="S344" s="35"/>
      <c r="T344" s="35"/>
      <c r="U344" s="35"/>
      <c r="V344" s="126"/>
      <c r="W344" s="127"/>
      <c r="X344" s="128"/>
      <c r="Y344" s="7"/>
    </row>
    <row r="345" ht="13.55" customHeight="1">
      <c r="A345" s="79"/>
      <c r="B345" s="35"/>
      <c r="C345" s="35"/>
      <c r="D345" s="35"/>
      <c r="E345" s="35"/>
      <c r="F345" s="35"/>
      <c r="G345" s="35"/>
      <c r="H345" s="35"/>
      <c r="I345" s="35"/>
      <c r="J345" s="35"/>
      <c r="K345" s="35"/>
      <c r="L345" t="s" s="80">
        <v>363</v>
      </c>
      <c r="M345" s="34" cm="1">
        <f t="array" ref="M345">M342-M344</f>
        <v>127120.2</v>
      </c>
      <c r="N345" s="35"/>
      <c r="O345" s="35"/>
      <c r="P345" s="35"/>
      <c r="Q345" s="35"/>
      <c r="R345" s="35"/>
      <c r="S345" s="35"/>
      <c r="T345" s="35"/>
      <c r="U345" s="35"/>
      <c r="V345" s="126"/>
      <c r="W345" s="127"/>
      <c r="X345" s="128"/>
      <c r="Y345" s="7"/>
    </row>
    <row r="346" ht="13.55" customHeight="1">
      <c r="A346" s="79"/>
      <c r="B346" s="35"/>
      <c r="C346" s="35"/>
      <c r="D346" s="35"/>
      <c r="E346" s="35"/>
      <c r="F346" s="35"/>
      <c r="G346" s="35"/>
      <c r="H346" s="35"/>
      <c r="I346" s="35"/>
      <c r="J346" s="35"/>
      <c r="K346" s="35"/>
      <c r="L346" s="35"/>
      <c r="M346" s="35"/>
      <c r="N346" s="35"/>
      <c r="O346" s="35"/>
      <c r="P346" s="35"/>
      <c r="Q346" s="35"/>
      <c r="R346" s="35"/>
      <c r="S346" s="35"/>
      <c r="T346" s="35"/>
      <c r="U346" s="35"/>
      <c r="V346" s="126"/>
      <c r="W346" s="127"/>
      <c r="X346" s="128"/>
      <c r="Y346" s="7"/>
    </row>
    <row r="347" ht="13.55" customHeight="1">
      <c r="A347" s="79"/>
      <c r="B347" s="35"/>
      <c r="C347" s="35"/>
      <c r="D347" s="35"/>
      <c r="E347" s="35"/>
      <c r="F347" s="35"/>
      <c r="G347" s="35"/>
      <c r="H347" s="35"/>
      <c r="I347" s="35"/>
      <c r="J347" s="35"/>
      <c r="K347" s="35"/>
      <c r="L347" s="35"/>
      <c r="M347" s="35"/>
      <c r="N347" s="35"/>
      <c r="O347" s="35"/>
      <c r="P347" s="35"/>
      <c r="Q347" s="35"/>
      <c r="R347" s="35"/>
      <c r="S347" s="35"/>
      <c r="T347" s="35"/>
      <c r="U347" s="35"/>
      <c r="V347" s="126"/>
      <c r="W347" s="127"/>
      <c r="X347" s="128"/>
      <c r="Y347" s="7"/>
    </row>
    <row r="348" ht="13.55" customHeight="1">
      <c r="A348" s="79"/>
      <c r="B348" s="35"/>
      <c r="C348" s="35"/>
      <c r="D348" s="35"/>
      <c r="E348" s="35"/>
      <c r="F348" s="35"/>
      <c r="G348" s="35"/>
      <c r="H348" s="35"/>
      <c r="I348" s="35"/>
      <c r="J348" s="35"/>
      <c r="K348" s="35"/>
      <c r="L348" s="35"/>
      <c r="M348" s="35"/>
      <c r="N348" s="35"/>
      <c r="O348" s="35"/>
      <c r="P348" s="35"/>
      <c r="Q348" s="35"/>
      <c r="R348" s="35"/>
      <c r="S348" s="35"/>
      <c r="T348" s="35"/>
      <c r="U348" s="35"/>
      <c r="V348" s="126"/>
      <c r="W348" s="127"/>
      <c r="X348" s="128"/>
      <c r="Y348" s="7"/>
    </row>
    <row r="349" ht="13.55" customHeight="1">
      <c r="A349" s="79"/>
      <c r="B349" s="35"/>
      <c r="C349" s="35"/>
      <c r="D349" s="35"/>
      <c r="E349" s="35"/>
      <c r="F349" s="35"/>
      <c r="G349" s="35"/>
      <c r="H349" s="35"/>
      <c r="I349" s="35"/>
      <c r="J349" s="35"/>
      <c r="K349" s="35"/>
      <c r="L349" s="35"/>
      <c r="M349" s="35"/>
      <c r="N349" s="35"/>
      <c r="O349" s="35"/>
      <c r="P349" s="35"/>
      <c r="Q349" s="35"/>
      <c r="R349" s="35"/>
      <c r="S349" s="35"/>
      <c r="T349" s="35"/>
      <c r="U349" s="35"/>
      <c r="V349" s="126"/>
      <c r="W349" s="127"/>
      <c r="X349" s="128"/>
      <c r="Y349" s="7"/>
    </row>
    <row r="350" ht="13.55" customHeight="1">
      <c r="A350" s="79"/>
      <c r="B350" s="35"/>
      <c r="C350" s="35"/>
      <c r="D350" s="35"/>
      <c r="E350" s="35"/>
      <c r="F350" s="35"/>
      <c r="G350" s="35"/>
      <c r="H350" s="35"/>
      <c r="I350" s="35"/>
      <c r="J350" s="35"/>
      <c r="K350" s="35"/>
      <c r="L350" s="35"/>
      <c r="M350" s="35"/>
      <c r="N350" s="35"/>
      <c r="O350" s="35"/>
      <c r="P350" s="35"/>
      <c r="Q350" s="35"/>
      <c r="R350" s="35"/>
      <c r="S350" s="35"/>
      <c r="T350" s="35"/>
      <c r="U350" s="35"/>
      <c r="V350" s="126"/>
      <c r="W350" s="127"/>
      <c r="X350" s="128"/>
      <c r="Y350" s="7"/>
    </row>
    <row r="351" ht="13.55" customHeight="1">
      <c r="A351" s="79"/>
      <c r="B351" s="35"/>
      <c r="C351" s="35"/>
      <c r="D351" s="35"/>
      <c r="E351" s="35"/>
      <c r="F351" s="35"/>
      <c r="G351" s="35"/>
      <c r="H351" s="35"/>
      <c r="I351" s="35"/>
      <c r="J351" s="35"/>
      <c r="K351" s="35"/>
      <c r="L351" s="35"/>
      <c r="M351" s="35"/>
      <c r="N351" s="35"/>
      <c r="O351" s="35"/>
      <c r="P351" s="35"/>
      <c r="Q351" s="35"/>
      <c r="R351" s="35"/>
      <c r="S351" s="35"/>
      <c r="T351" s="35"/>
      <c r="U351" s="35"/>
      <c r="V351" s="126"/>
      <c r="W351" s="127"/>
      <c r="X351" s="128"/>
      <c r="Y351" s="7"/>
    </row>
    <row r="352" ht="13.55" customHeight="1">
      <c r="A352" s="79"/>
      <c r="B352" s="35"/>
      <c r="C352" s="35"/>
      <c r="D352" s="35"/>
      <c r="E352" s="35"/>
      <c r="F352" s="35"/>
      <c r="G352" s="35"/>
      <c r="H352" s="35"/>
      <c r="I352" s="35"/>
      <c r="J352" s="35"/>
      <c r="K352" s="35"/>
      <c r="L352" s="35"/>
      <c r="M352" s="35"/>
      <c r="N352" s="35"/>
      <c r="O352" s="35"/>
      <c r="P352" s="35"/>
      <c r="Q352" s="35"/>
      <c r="R352" s="35"/>
      <c r="S352" s="35"/>
      <c r="T352" s="35"/>
      <c r="U352" s="35"/>
      <c r="V352" s="126"/>
      <c r="W352" s="127"/>
      <c r="X352" s="128"/>
      <c r="Y352" s="7"/>
    </row>
    <row r="353" ht="13.55" customHeight="1">
      <c r="A353" s="79"/>
      <c r="B353" s="35"/>
      <c r="C353" s="35"/>
      <c r="D353" s="35"/>
      <c r="E353" s="35"/>
      <c r="F353" s="35"/>
      <c r="G353" s="35"/>
      <c r="H353" s="35"/>
      <c r="I353" s="35"/>
      <c r="J353" s="35"/>
      <c r="K353" s="35"/>
      <c r="L353" s="35"/>
      <c r="M353" s="35"/>
      <c r="N353" s="35"/>
      <c r="O353" s="35"/>
      <c r="P353" s="35"/>
      <c r="Q353" s="35"/>
      <c r="R353" s="35"/>
      <c r="S353" s="35"/>
      <c r="T353" s="35"/>
      <c r="U353" s="35"/>
      <c r="V353" s="126"/>
      <c r="W353" s="127"/>
      <c r="X353" s="128"/>
      <c r="Y353" s="7"/>
    </row>
    <row r="354" ht="13.55" customHeight="1">
      <c r="A354" s="79"/>
      <c r="B354" s="35"/>
      <c r="C354" s="35"/>
      <c r="D354" s="35"/>
      <c r="E354" s="35"/>
      <c r="F354" s="35"/>
      <c r="G354" s="35"/>
      <c r="H354" s="35"/>
      <c r="I354" s="35"/>
      <c r="J354" s="35"/>
      <c r="K354" s="35"/>
      <c r="L354" s="35"/>
      <c r="M354" s="35"/>
      <c r="N354" s="35"/>
      <c r="O354" s="35"/>
      <c r="P354" s="35"/>
      <c r="Q354" s="35"/>
      <c r="R354" s="35"/>
      <c r="S354" s="35"/>
      <c r="T354" s="35"/>
      <c r="U354" s="35"/>
      <c r="V354" s="126"/>
      <c r="W354" s="127"/>
      <c r="X354" s="128"/>
      <c r="Y354" s="7"/>
    </row>
    <row r="355" ht="13.55" customHeight="1">
      <c r="A355" s="79"/>
      <c r="B355" s="35"/>
      <c r="C355" s="35"/>
      <c r="D355" s="35"/>
      <c r="E355" s="35"/>
      <c r="F355" s="35"/>
      <c r="G355" s="35"/>
      <c r="H355" s="35"/>
      <c r="I355" s="35"/>
      <c r="J355" s="35"/>
      <c r="K355" s="35"/>
      <c r="L355" s="35"/>
      <c r="M355" s="35"/>
      <c r="N355" s="35"/>
      <c r="O355" s="35"/>
      <c r="P355" s="35"/>
      <c r="Q355" s="35"/>
      <c r="R355" s="35"/>
      <c r="S355" s="35"/>
      <c r="T355" s="35"/>
      <c r="U355" s="35"/>
      <c r="V355" s="126"/>
      <c r="W355" s="127"/>
      <c r="X355" s="128"/>
      <c r="Y355" s="7"/>
    </row>
    <row r="356" ht="13.55" customHeight="1">
      <c r="A356" s="79"/>
      <c r="B356" s="35"/>
      <c r="C356" s="35"/>
      <c r="D356" s="35"/>
      <c r="E356" s="35"/>
      <c r="F356" s="35"/>
      <c r="G356" s="35"/>
      <c r="H356" s="35"/>
      <c r="I356" s="35"/>
      <c r="J356" s="35"/>
      <c r="K356" s="35"/>
      <c r="L356" s="35"/>
      <c r="M356" s="35"/>
      <c r="N356" s="35"/>
      <c r="O356" s="35"/>
      <c r="P356" s="35"/>
      <c r="Q356" s="35"/>
      <c r="R356" s="35"/>
      <c r="S356" s="35"/>
      <c r="T356" s="35"/>
      <c r="U356" s="35"/>
      <c r="V356" s="126"/>
      <c r="W356" s="127"/>
      <c r="X356" s="128"/>
      <c r="Y356" s="7"/>
    </row>
    <row r="357" ht="13.55" customHeight="1">
      <c r="A357" s="79"/>
      <c r="B357" s="35"/>
      <c r="C357" s="35"/>
      <c r="D357" s="35"/>
      <c r="E357" s="35"/>
      <c r="F357" s="35"/>
      <c r="G357" s="35"/>
      <c r="H357" s="35"/>
      <c r="I357" s="35"/>
      <c r="J357" s="35"/>
      <c r="K357" s="35"/>
      <c r="L357" s="35"/>
      <c r="M357" s="35"/>
      <c r="N357" s="35"/>
      <c r="O357" s="35"/>
      <c r="P357" s="35"/>
      <c r="Q357" s="35"/>
      <c r="R357" s="35"/>
      <c r="S357" s="35"/>
      <c r="T357" s="35"/>
      <c r="U357" s="35"/>
      <c r="V357" s="126"/>
      <c r="W357" s="127"/>
      <c r="X357" s="128"/>
      <c r="Y357" s="7"/>
    </row>
    <row r="358" ht="13.55" customHeight="1">
      <c r="A358" s="79"/>
      <c r="B358" s="35"/>
      <c r="C358" s="35"/>
      <c r="D358" s="35"/>
      <c r="E358" s="35"/>
      <c r="F358" s="35"/>
      <c r="G358" s="35"/>
      <c r="H358" s="35"/>
      <c r="I358" s="35"/>
      <c r="J358" s="35"/>
      <c r="K358" s="35"/>
      <c r="L358" s="35"/>
      <c r="M358" s="35"/>
      <c r="N358" s="35"/>
      <c r="O358" s="35"/>
      <c r="P358" s="35"/>
      <c r="Q358" s="35"/>
      <c r="R358" s="35"/>
      <c r="S358" s="35"/>
      <c r="T358" s="35"/>
      <c r="U358" s="35"/>
      <c r="V358" s="126"/>
      <c r="W358" s="127"/>
      <c r="X358" s="128"/>
      <c r="Y358" s="7"/>
    </row>
    <row r="359" ht="13.55" customHeight="1">
      <c r="A359" s="79"/>
      <c r="B359" s="35"/>
      <c r="C359" s="35"/>
      <c r="D359" s="35"/>
      <c r="E359" s="35"/>
      <c r="F359" s="35"/>
      <c r="G359" s="35"/>
      <c r="H359" s="35"/>
      <c r="I359" s="35"/>
      <c r="J359" s="35"/>
      <c r="K359" s="35"/>
      <c r="L359" s="35"/>
      <c r="M359" s="35"/>
      <c r="N359" s="35"/>
      <c r="O359" s="35"/>
      <c r="P359" s="35"/>
      <c r="Q359" s="35"/>
      <c r="R359" s="35"/>
      <c r="S359" s="35"/>
      <c r="T359" s="35"/>
      <c r="U359" s="35"/>
      <c r="V359" s="126"/>
      <c r="W359" s="127"/>
      <c r="X359" s="128"/>
      <c r="Y359" s="7"/>
    </row>
    <row r="360" ht="13.55" customHeight="1">
      <c r="A360" s="79"/>
      <c r="B360" s="35"/>
      <c r="C360" s="35"/>
      <c r="D360" s="35"/>
      <c r="E360" s="35"/>
      <c r="F360" s="35"/>
      <c r="G360" s="35"/>
      <c r="H360" s="35"/>
      <c r="I360" s="35"/>
      <c r="J360" s="35"/>
      <c r="K360" s="35"/>
      <c r="L360" s="35"/>
      <c r="M360" s="35"/>
      <c r="N360" s="35"/>
      <c r="O360" s="35"/>
      <c r="P360" s="35"/>
      <c r="Q360" s="35"/>
      <c r="R360" s="35"/>
      <c r="S360" s="35"/>
      <c r="T360" s="35"/>
      <c r="U360" s="35"/>
      <c r="V360" s="126"/>
      <c r="W360" s="127"/>
      <c r="X360" s="128"/>
      <c r="Y360" s="7"/>
    </row>
    <row r="361" ht="13.55" customHeight="1">
      <c r="A361" s="79"/>
      <c r="B361" s="35"/>
      <c r="C361" s="35"/>
      <c r="D361" s="35"/>
      <c r="E361" s="35"/>
      <c r="F361" s="35"/>
      <c r="G361" s="35"/>
      <c r="H361" s="35"/>
      <c r="I361" s="35"/>
      <c r="J361" s="35"/>
      <c r="K361" s="35"/>
      <c r="L361" s="35"/>
      <c r="M361" s="35"/>
      <c r="N361" s="35"/>
      <c r="O361" s="35"/>
      <c r="P361" s="35"/>
      <c r="Q361" s="35"/>
      <c r="R361" s="35"/>
      <c r="S361" s="35"/>
      <c r="T361" s="35"/>
      <c r="U361" s="35"/>
      <c r="V361" s="126"/>
      <c r="W361" s="127"/>
      <c r="X361" s="128"/>
      <c r="Y361" s="7"/>
    </row>
    <row r="362" ht="13.55" customHeight="1">
      <c r="A362" s="79"/>
      <c r="B362" s="35"/>
      <c r="C362" s="35"/>
      <c r="D362" s="35"/>
      <c r="E362" s="35"/>
      <c r="F362" s="35"/>
      <c r="G362" s="35"/>
      <c r="H362" s="35"/>
      <c r="I362" s="35"/>
      <c r="J362" s="35"/>
      <c r="K362" s="35"/>
      <c r="L362" s="35"/>
      <c r="M362" s="35"/>
      <c r="N362" s="35"/>
      <c r="O362" s="35"/>
      <c r="P362" s="35"/>
      <c r="Q362" s="35"/>
      <c r="R362" s="35"/>
      <c r="S362" s="35"/>
      <c r="T362" s="35"/>
      <c r="U362" s="35"/>
      <c r="V362" s="126"/>
      <c r="W362" s="127"/>
      <c r="X362" s="128"/>
      <c r="Y362" s="7"/>
    </row>
    <row r="363" ht="13.55" customHeight="1">
      <c r="A363" s="79"/>
      <c r="B363" s="35"/>
      <c r="C363" s="35"/>
      <c r="D363" s="35"/>
      <c r="E363" s="35"/>
      <c r="F363" s="35"/>
      <c r="G363" s="35"/>
      <c r="H363" s="35"/>
      <c r="I363" s="35"/>
      <c r="J363" s="35"/>
      <c r="K363" s="35"/>
      <c r="L363" s="35"/>
      <c r="M363" s="35"/>
      <c r="N363" s="35"/>
      <c r="O363" s="35"/>
      <c r="P363" s="35"/>
      <c r="Q363" s="35"/>
      <c r="R363" s="35"/>
      <c r="S363" s="35"/>
      <c r="T363" s="35"/>
      <c r="U363" s="35"/>
      <c r="V363" s="126"/>
      <c r="W363" s="127"/>
      <c r="X363" s="128"/>
      <c r="Y363" s="7"/>
    </row>
    <row r="364" ht="13.55" customHeight="1">
      <c r="A364" s="79"/>
      <c r="B364" s="35"/>
      <c r="C364" s="35"/>
      <c r="D364" s="35"/>
      <c r="E364" s="35"/>
      <c r="F364" s="35"/>
      <c r="G364" s="35"/>
      <c r="H364" s="35"/>
      <c r="I364" s="35"/>
      <c r="J364" s="35"/>
      <c r="K364" s="35"/>
      <c r="L364" s="35"/>
      <c r="M364" s="35"/>
      <c r="N364" s="35"/>
      <c r="O364" s="35"/>
      <c r="P364" s="35"/>
      <c r="Q364" s="35"/>
      <c r="R364" s="35"/>
      <c r="S364" s="35"/>
      <c r="T364" s="35"/>
      <c r="U364" s="35"/>
      <c r="V364" s="126"/>
      <c r="W364" s="127"/>
      <c r="X364" s="128"/>
      <c r="Y364" s="7"/>
    </row>
    <row r="365" ht="13.55" customHeight="1">
      <c r="A365" s="79"/>
      <c r="B365" s="35"/>
      <c r="C365" s="35"/>
      <c r="D365" s="35"/>
      <c r="E365" s="35"/>
      <c r="F365" s="35"/>
      <c r="G365" s="35"/>
      <c r="H365" s="35"/>
      <c r="I365" s="35"/>
      <c r="J365" s="35"/>
      <c r="K365" s="35"/>
      <c r="L365" s="35"/>
      <c r="M365" s="35"/>
      <c r="N365" s="35"/>
      <c r="O365" s="35"/>
      <c r="P365" s="35"/>
      <c r="Q365" s="35"/>
      <c r="R365" s="35"/>
      <c r="S365" s="35"/>
      <c r="T365" s="35"/>
      <c r="U365" s="35"/>
      <c r="V365" s="126"/>
      <c r="W365" s="127"/>
      <c r="X365" s="128"/>
      <c r="Y365" s="7"/>
    </row>
    <row r="366" ht="13.55" customHeight="1">
      <c r="A366" s="79"/>
      <c r="B366" s="35"/>
      <c r="C366" s="35"/>
      <c r="D366" s="35"/>
      <c r="E366" s="35"/>
      <c r="F366" s="35"/>
      <c r="G366" s="35"/>
      <c r="H366" s="35"/>
      <c r="I366" s="35"/>
      <c r="J366" s="35"/>
      <c r="K366" s="35"/>
      <c r="L366" s="35"/>
      <c r="M366" s="35"/>
      <c r="N366" s="35"/>
      <c r="O366" s="35"/>
      <c r="P366" s="35"/>
      <c r="Q366" s="35"/>
      <c r="R366" s="35"/>
      <c r="S366" s="35"/>
      <c r="T366" s="35"/>
      <c r="U366" s="35"/>
      <c r="V366" s="126"/>
      <c r="W366" s="127"/>
      <c r="X366" s="128"/>
      <c r="Y366" s="7"/>
    </row>
    <row r="367" ht="13.55" customHeight="1">
      <c r="A367" s="79"/>
      <c r="B367" s="35"/>
      <c r="C367" s="35"/>
      <c r="D367" s="35"/>
      <c r="E367" s="35"/>
      <c r="F367" s="35"/>
      <c r="G367" s="35"/>
      <c r="H367" s="35"/>
      <c r="I367" s="35"/>
      <c r="J367" s="35"/>
      <c r="K367" s="35"/>
      <c r="L367" s="35"/>
      <c r="M367" s="35"/>
      <c r="N367" s="35"/>
      <c r="O367" s="35"/>
      <c r="P367" s="35"/>
      <c r="Q367" s="35"/>
      <c r="R367" s="35"/>
      <c r="S367" s="35"/>
      <c r="T367" s="35"/>
      <c r="U367" s="35"/>
      <c r="V367" s="126"/>
      <c r="W367" s="127"/>
      <c r="X367" s="128"/>
      <c r="Y367" s="7"/>
    </row>
    <row r="368" ht="13.55" customHeight="1">
      <c r="A368" s="79"/>
      <c r="B368" s="35"/>
      <c r="C368" s="35"/>
      <c r="D368" s="35"/>
      <c r="E368" s="35"/>
      <c r="F368" s="35"/>
      <c r="G368" s="35"/>
      <c r="H368" s="35"/>
      <c r="I368" s="35"/>
      <c r="J368" s="35"/>
      <c r="K368" s="35"/>
      <c r="L368" s="35"/>
      <c r="M368" s="35"/>
      <c r="N368" s="35"/>
      <c r="O368" s="35"/>
      <c r="P368" s="35"/>
      <c r="Q368" s="35"/>
      <c r="R368" s="35"/>
      <c r="S368" s="35"/>
      <c r="T368" s="35"/>
      <c r="U368" s="35"/>
      <c r="V368" s="126"/>
      <c r="W368" s="127"/>
      <c r="X368" s="128"/>
      <c r="Y368" s="7"/>
    </row>
    <row r="369" ht="13.55" customHeight="1">
      <c r="A369" s="79"/>
      <c r="B369" s="35"/>
      <c r="C369" s="35"/>
      <c r="D369" s="35"/>
      <c r="E369" s="35"/>
      <c r="F369" s="35"/>
      <c r="G369" s="35"/>
      <c r="H369" s="35"/>
      <c r="I369" s="35"/>
      <c r="J369" s="35"/>
      <c r="K369" s="35"/>
      <c r="L369" s="35"/>
      <c r="M369" s="35"/>
      <c r="N369" s="35"/>
      <c r="O369" s="35"/>
      <c r="P369" s="35"/>
      <c r="Q369" s="35"/>
      <c r="R369" s="35"/>
      <c r="S369" s="35"/>
      <c r="T369" s="35"/>
      <c r="U369" s="35"/>
      <c r="V369" s="126"/>
      <c r="W369" s="127"/>
      <c r="X369" s="128"/>
      <c r="Y369" s="7"/>
    </row>
    <row r="370" ht="13.55" customHeight="1">
      <c r="A370" s="79"/>
      <c r="B370" s="35"/>
      <c r="C370" s="35"/>
      <c r="D370" s="35"/>
      <c r="E370" s="35"/>
      <c r="F370" s="35"/>
      <c r="G370" s="35"/>
      <c r="H370" s="35"/>
      <c r="I370" s="35"/>
      <c r="J370" s="35"/>
      <c r="K370" s="35"/>
      <c r="L370" s="35"/>
      <c r="M370" s="35"/>
      <c r="N370" s="35"/>
      <c r="O370" s="35"/>
      <c r="P370" s="35"/>
      <c r="Q370" s="35"/>
      <c r="R370" s="35"/>
      <c r="S370" s="35"/>
      <c r="T370" s="35"/>
      <c r="U370" s="35"/>
      <c r="V370" s="126"/>
      <c r="W370" s="127"/>
      <c r="X370" s="128"/>
      <c r="Y370" s="7"/>
    </row>
    <row r="371" ht="13.55" customHeight="1">
      <c r="A371" s="79"/>
      <c r="B371" s="35"/>
      <c r="C371" s="35"/>
      <c r="D371" s="35"/>
      <c r="E371" s="35"/>
      <c r="F371" s="35"/>
      <c r="G371" s="35"/>
      <c r="H371" s="35"/>
      <c r="I371" s="35"/>
      <c r="J371" s="35"/>
      <c r="K371" s="35"/>
      <c r="L371" s="35"/>
      <c r="M371" s="35"/>
      <c r="N371" s="35"/>
      <c r="O371" s="35"/>
      <c r="P371" s="35"/>
      <c r="Q371" s="35"/>
      <c r="R371" s="35"/>
      <c r="S371" s="35"/>
      <c r="T371" s="35"/>
      <c r="U371" s="35"/>
      <c r="V371" s="126"/>
      <c r="W371" s="127"/>
      <c r="X371" s="128"/>
      <c r="Y371" s="7"/>
    </row>
    <row r="372" ht="13.55" customHeight="1">
      <c r="A372" s="79"/>
      <c r="B372" s="35"/>
      <c r="C372" s="35"/>
      <c r="D372" s="35"/>
      <c r="E372" s="35"/>
      <c r="F372" s="35"/>
      <c r="G372" s="35"/>
      <c r="H372" s="35"/>
      <c r="I372" s="35"/>
      <c r="J372" s="35"/>
      <c r="K372" s="35"/>
      <c r="L372" s="35"/>
      <c r="M372" s="35"/>
      <c r="N372" s="35"/>
      <c r="O372" s="35"/>
      <c r="P372" s="35"/>
      <c r="Q372" s="35"/>
      <c r="R372" s="35"/>
      <c r="S372" s="35"/>
      <c r="T372" s="35"/>
      <c r="U372" s="35"/>
      <c r="V372" s="126"/>
      <c r="W372" s="127"/>
      <c r="X372" s="128"/>
      <c r="Y372" s="7"/>
    </row>
    <row r="373" ht="13.55" customHeight="1">
      <c r="A373" s="79"/>
      <c r="B373" s="35"/>
      <c r="C373" s="35"/>
      <c r="D373" s="35"/>
      <c r="E373" s="35"/>
      <c r="F373" s="35"/>
      <c r="G373" s="35"/>
      <c r="H373" s="35"/>
      <c r="I373" s="35"/>
      <c r="J373" s="35"/>
      <c r="K373" s="35"/>
      <c r="L373" s="35"/>
      <c r="M373" s="35"/>
      <c r="N373" s="35"/>
      <c r="O373" s="35"/>
      <c r="P373" s="35"/>
      <c r="Q373" s="35"/>
      <c r="R373" s="35"/>
      <c r="S373" s="35"/>
      <c r="T373" s="35"/>
      <c r="U373" s="35"/>
      <c r="V373" s="126"/>
      <c r="W373" s="127"/>
      <c r="X373" s="128"/>
      <c r="Y373" s="7"/>
    </row>
    <row r="374" ht="13.55" customHeight="1">
      <c r="A374" s="79"/>
      <c r="B374" s="35"/>
      <c r="C374" s="35"/>
      <c r="D374" s="35"/>
      <c r="E374" s="35"/>
      <c r="F374" s="35"/>
      <c r="G374" s="35"/>
      <c r="H374" s="35"/>
      <c r="I374" s="35"/>
      <c r="J374" s="35"/>
      <c r="K374" s="35"/>
      <c r="L374" s="35"/>
      <c r="M374" s="35"/>
      <c r="N374" s="35"/>
      <c r="O374" s="35"/>
      <c r="P374" s="35"/>
      <c r="Q374" s="35"/>
      <c r="R374" s="35"/>
      <c r="S374" s="35"/>
      <c r="T374" s="35"/>
      <c r="U374" s="35"/>
      <c r="V374" s="126"/>
      <c r="W374" s="127"/>
      <c r="X374" s="128"/>
      <c r="Y374" s="7"/>
    </row>
    <row r="375" ht="13.55" customHeight="1">
      <c r="A375" s="79"/>
      <c r="B375" s="35"/>
      <c r="C375" s="35"/>
      <c r="D375" s="35"/>
      <c r="E375" s="35"/>
      <c r="F375" s="35"/>
      <c r="G375" s="35"/>
      <c r="H375" s="35"/>
      <c r="I375" s="35"/>
      <c r="J375" s="35"/>
      <c r="K375" s="35"/>
      <c r="L375" s="35"/>
      <c r="M375" s="35"/>
      <c r="N375" s="35"/>
      <c r="O375" s="35"/>
      <c r="P375" s="35"/>
      <c r="Q375" s="35"/>
      <c r="R375" s="35"/>
      <c r="S375" s="35"/>
      <c r="T375" s="35"/>
      <c r="U375" s="35"/>
      <c r="V375" s="126"/>
      <c r="W375" s="127"/>
      <c r="X375" s="128"/>
      <c r="Y375" s="7"/>
    </row>
    <row r="376" ht="13.55" customHeight="1">
      <c r="A376" s="79"/>
      <c r="B376" s="35"/>
      <c r="C376" s="35"/>
      <c r="D376" s="35"/>
      <c r="E376" s="35"/>
      <c r="F376" s="35"/>
      <c r="G376" s="35"/>
      <c r="H376" s="35"/>
      <c r="I376" s="35"/>
      <c r="J376" s="35"/>
      <c r="K376" s="35"/>
      <c r="L376" s="35"/>
      <c r="M376" s="35"/>
      <c r="N376" s="35"/>
      <c r="O376" s="35"/>
      <c r="P376" s="35"/>
      <c r="Q376" s="35"/>
      <c r="R376" s="35"/>
      <c r="S376" s="35"/>
      <c r="T376" s="35"/>
      <c r="U376" s="35"/>
      <c r="V376" s="126"/>
      <c r="W376" s="127"/>
      <c r="X376" s="128"/>
      <c r="Y376" s="7"/>
    </row>
    <row r="377" ht="13.55" customHeight="1">
      <c r="A377" s="79"/>
      <c r="B377" s="35"/>
      <c r="C377" s="35"/>
      <c r="D377" s="35"/>
      <c r="E377" s="35"/>
      <c r="F377" s="35"/>
      <c r="G377" s="35"/>
      <c r="H377" s="35"/>
      <c r="I377" s="35"/>
      <c r="J377" s="35"/>
      <c r="K377" s="35"/>
      <c r="L377" s="35"/>
      <c r="M377" s="35"/>
      <c r="N377" s="35"/>
      <c r="O377" s="35"/>
      <c r="P377" s="35"/>
      <c r="Q377" s="35"/>
      <c r="R377" s="35"/>
      <c r="S377" s="35"/>
      <c r="T377" s="35"/>
      <c r="U377" s="35"/>
      <c r="V377" s="126"/>
      <c r="W377" s="127"/>
      <c r="X377" s="128"/>
      <c r="Y377" s="7"/>
    </row>
    <row r="378" ht="13.55" customHeight="1">
      <c r="A378" s="79"/>
      <c r="B378" s="35"/>
      <c r="C378" s="35"/>
      <c r="D378" s="35"/>
      <c r="E378" s="35"/>
      <c r="F378" s="35"/>
      <c r="G378" s="35"/>
      <c r="H378" s="35"/>
      <c r="I378" s="35"/>
      <c r="J378" s="35"/>
      <c r="K378" s="35"/>
      <c r="L378" s="35"/>
      <c r="M378" s="35"/>
      <c r="N378" s="35"/>
      <c r="O378" s="35"/>
      <c r="P378" s="35"/>
      <c r="Q378" s="35"/>
      <c r="R378" s="35"/>
      <c r="S378" s="35"/>
      <c r="T378" s="35"/>
      <c r="U378" s="35"/>
      <c r="V378" s="126"/>
      <c r="W378" s="127"/>
      <c r="X378" s="128"/>
      <c r="Y378" s="7"/>
    </row>
    <row r="379" ht="13.55" customHeight="1">
      <c r="A379" s="79"/>
      <c r="B379" s="35"/>
      <c r="C379" s="35"/>
      <c r="D379" s="35"/>
      <c r="E379" s="35"/>
      <c r="F379" s="35"/>
      <c r="G379" s="35"/>
      <c r="H379" s="35"/>
      <c r="I379" s="35"/>
      <c r="J379" s="35"/>
      <c r="K379" s="35"/>
      <c r="L379" s="35"/>
      <c r="M379" s="35"/>
      <c r="N379" s="35"/>
      <c r="O379" s="35"/>
      <c r="P379" s="35"/>
      <c r="Q379" s="35"/>
      <c r="R379" s="35"/>
      <c r="S379" s="35"/>
      <c r="T379" s="35"/>
      <c r="U379" s="35"/>
      <c r="V379" s="126"/>
      <c r="W379" s="127"/>
      <c r="X379" s="128"/>
      <c r="Y379" s="7"/>
    </row>
    <row r="380" ht="13.55" customHeight="1">
      <c r="A380" s="79"/>
      <c r="B380" s="35"/>
      <c r="C380" s="35"/>
      <c r="D380" s="35"/>
      <c r="E380" s="35"/>
      <c r="F380" s="35"/>
      <c r="G380" s="35"/>
      <c r="H380" s="35"/>
      <c r="I380" s="35"/>
      <c r="J380" s="35"/>
      <c r="K380" s="35"/>
      <c r="L380" s="35"/>
      <c r="M380" s="35"/>
      <c r="N380" s="35"/>
      <c r="O380" s="35"/>
      <c r="P380" s="35"/>
      <c r="Q380" s="35"/>
      <c r="R380" s="35"/>
      <c r="S380" s="35"/>
      <c r="T380" s="35"/>
      <c r="U380" s="35"/>
      <c r="V380" s="126"/>
      <c r="W380" s="127"/>
      <c r="X380" s="128"/>
      <c r="Y380" s="7"/>
    </row>
    <row r="381" ht="13.55" customHeight="1">
      <c r="A381" s="79"/>
      <c r="B381" s="35"/>
      <c r="C381" s="35"/>
      <c r="D381" s="35"/>
      <c r="E381" s="35"/>
      <c r="F381" s="35"/>
      <c r="G381" s="35"/>
      <c r="H381" s="35"/>
      <c r="I381" s="35"/>
      <c r="J381" s="35"/>
      <c r="K381" s="35"/>
      <c r="L381" s="35"/>
      <c r="M381" s="35"/>
      <c r="N381" s="35"/>
      <c r="O381" s="35"/>
      <c r="P381" s="35"/>
      <c r="Q381" s="35"/>
      <c r="R381" s="35"/>
      <c r="S381" s="35"/>
      <c r="T381" s="35"/>
      <c r="U381" s="35"/>
      <c r="V381" s="126"/>
      <c r="W381" s="127"/>
      <c r="X381" s="128"/>
      <c r="Y381" s="7"/>
    </row>
    <row r="382" ht="13.55" customHeight="1">
      <c r="A382" s="79"/>
      <c r="B382" s="35"/>
      <c r="C382" s="35"/>
      <c r="D382" s="35"/>
      <c r="E382" s="35"/>
      <c r="F382" s="35"/>
      <c r="G382" s="35"/>
      <c r="H382" s="35"/>
      <c r="I382" s="35"/>
      <c r="J382" s="35"/>
      <c r="K382" s="35"/>
      <c r="L382" s="35"/>
      <c r="M382" s="35"/>
      <c r="N382" s="35"/>
      <c r="O382" s="35"/>
      <c r="P382" s="35"/>
      <c r="Q382" s="35"/>
      <c r="R382" s="35"/>
      <c r="S382" s="35"/>
      <c r="T382" s="35"/>
      <c r="U382" s="35"/>
      <c r="V382" s="126"/>
      <c r="W382" s="127"/>
      <c r="X382" s="128"/>
      <c r="Y382" s="7"/>
    </row>
    <row r="383" ht="13.55" customHeight="1">
      <c r="A383" s="79"/>
      <c r="B383" s="35"/>
      <c r="C383" s="35"/>
      <c r="D383" s="35"/>
      <c r="E383" s="35"/>
      <c r="F383" s="35"/>
      <c r="G383" s="35"/>
      <c r="H383" s="35"/>
      <c r="I383" s="35"/>
      <c r="J383" s="35"/>
      <c r="K383" s="35"/>
      <c r="L383" s="35"/>
      <c r="M383" s="35"/>
      <c r="N383" s="35"/>
      <c r="O383" s="35"/>
      <c r="P383" s="35"/>
      <c r="Q383" s="35"/>
      <c r="R383" s="35"/>
      <c r="S383" s="35"/>
      <c r="T383" s="35"/>
      <c r="U383" s="35"/>
      <c r="V383" s="126"/>
      <c r="W383" s="127"/>
      <c r="X383" s="128"/>
      <c r="Y383" s="7"/>
    </row>
    <row r="384" ht="13.55" customHeight="1">
      <c r="A384" s="79"/>
      <c r="B384" s="35"/>
      <c r="C384" s="35"/>
      <c r="D384" s="35"/>
      <c r="E384" s="35"/>
      <c r="F384" s="35"/>
      <c r="G384" s="35"/>
      <c r="H384" s="35"/>
      <c r="I384" s="35"/>
      <c r="J384" s="35"/>
      <c r="K384" s="35"/>
      <c r="L384" s="35"/>
      <c r="M384" s="35"/>
      <c r="N384" s="35"/>
      <c r="O384" s="35"/>
      <c r="P384" s="35"/>
      <c r="Q384" s="35"/>
      <c r="R384" s="35"/>
      <c r="S384" s="35"/>
      <c r="T384" s="35"/>
      <c r="U384" s="35"/>
      <c r="V384" s="126"/>
      <c r="W384" s="127"/>
      <c r="X384" s="128"/>
      <c r="Y384" s="7"/>
    </row>
    <row r="385" ht="13.55" customHeight="1">
      <c r="A385" s="79"/>
      <c r="B385" s="35"/>
      <c r="C385" s="35"/>
      <c r="D385" s="35"/>
      <c r="E385" s="35"/>
      <c r="F385" s="35"/>
      <c r="G385" s="35"/>
      <c r="H385" s="35"/>
      <c r="I385" s="35"/>
      <c r="J385" s="35"/>
      <c r="K385" s="35"/>
      <c r="L385" s="35"/>
      <c r="M385" s="35"/>
      <c r="N385" s="35"/>
      <c r="O385" s="35"/>
      <c r="P385" s="35"/>
      <c r="Q385" s="35"/>
      <c r="R385" s="35"/>
      <c r="S385" s="35"/>
      <c r="T385" s="35"/>
      <c r="U385" s="35"/>
      <c r="V385" s="126"/>
      <c r="W385" s="127"/>
      <c r="X385" s="128"/>
      <c r="Y385" s="7"/>
    </row>
    <row r="386" ht="13.55" customHeight="1">
      <c r="A386" s="79"/>
      <c r="B386" s="35"/>
      <c r="C386" s="35"/>
      <c r="D386" s="35"/>
      <c r="E386" s="35"/>
      <c r="F386" s="35"/>
      <c r="G386" s="35"/>
      <c r="H386" s="35"/>
      <c r="I386" s="35"/>
      <c r="J386" s="35"/>
      <c r="K386" s="35"/>
      <c r="L386" s="35"/>
      <c r="M386" s="35"/>
      <c r="N386" s="35"/>
      <c r="O386" s="35"/>
      <c r="P386" s="35"/>
      <c r="Q386" s="35"/>
      <c r="R386" s="35"/>
      <c r="S386" s="35"/>
      <c r="T386" s="35"/>
      <c r="U386" s="35"/>
      <c r="V386" s="126"/>
      <c r="W386" s="127"/>
      <c r="X386" s="128"/>
      <c r="Y386" s="7"/>
    </row>
    <row r="387" ht="13.55" customHeight="1">
      <c r="A387" s="79"/>
      <c r="B387" s="35"/>
      <c r="C387" s="35"/>
      <c r="D387" s="35"/>
      <c r="E387" s="35"/>
      <c r="F387" s="35"/>
      <c r="G387" s="35"/>
      <c r="H387" s="35"/>
      <c r="I387" s="35"/>
      <c r="J387" s="35"/>
      <c r="K387" s="35"/>
      <c r="L387" s="35"/>
      <c r="M387" s="35"/>
      <c r="N387" s="35"/>
      <c r="O387" s="35"/>
      <c r="P387" s="35"/>
      <c r="Q387" s="35"/>
      <c r="R387" s="35"/>
      <c r="S387" s="35"/>
      <c r="T387" s="35"/>
      <c r="U387" s="35"/>
      <c r="V387" s="126"/>
      <c r="W387" s="127"/>
      <c r="X387" s="128"/>
      <c r="Y387" s="7"/>
    </row>
    <row r="388" ht="13.55" customHeight="1">
      <c r="A388" s="79"/>
      <c r="B388" s="35"/>
      <c r="C388" s="35"/>
      <c r="D388" s="35"/>
      <c r="E388" s="35"/>
      <c r="F388" s="35"/>
      <c r="G388" s="35"/>
      <c r="H388" s="35"/>
      <c r="I388" s="35"/>
      <c r="J388" s="35"/>
      <c r="K388" s="35"/>
      <c r="L388" s="35"/>
      <c r="M388" s="35"/>
      <c r="N388" s="35"/>
      <c r="O388" s="35"/>
      <c r="P388" s="35"/>
      <c r="Q388" s="35"/>
      <c r="R388" s="35"/>
      <c r="S388" s="35"/>
      <c r="T388" s="35"/>
      <c r="U388" s="35"/>
      <c r="V388" s="126"/>
      <c r="W388" s="127"/>
      <c r="X388" s="128"/>
      <c r="Y388" s="7"/>
    </row>
    <row r="389" ht="13.55" customHeight="1">
      <c r="A389" s="79"/>
      <c r="B389" s="35"/>
      <c r="C389" s="35"/>
      <c r="D389" s="35"/>
      <c r="E389" s="35"/>
      <c r="F389" s="35"/>
      <c r="G389" s="35"/>
      <c r="H389" s="35"/>
      <c r="I389" s="35"/>
      <c r="J389" s="35"/>
      <c r="K389" s="35"/>
      <c r="L389" s="35"/>
      <c r="M389" s="35"/>
      <c r="N389" s="35"/>
      <c r="O389" s="35"/>
      <c r="P389" s="35"/>
      <c r="Q389" s="35"/>
      <c r="R389" s="35"/>
      <c r="S389" s="35"/>
      <c r="T389" s="35"/>
      <c r="U389" s="35"/>
      <c r="V389" s="126"/>
      <c r="W389" s="127"/>
      <c r="X389" s="128"/>
      <c r="Y389" s="7"/>
    </row>
    <row r="390" ht="13.55" customHeight="1">
      <c r="A390" s="79"/>
      <c r="B390" s="35"/>
      <c r="C390" s="35"/>
      <c r="D390" s="35"/>
      <c r="E390" s="35"/>
      <c r="F390" s="35"/>
      <c r="G390" s="35"/>
      <c r="H390" s="35"/>
      <c r="I390" s="35"/>
      <c r="J390" s="35"/>
      <c r="K390" s="35"/>
      <c r="L390" s="35"/>
      <c r="M390" s="35"/>
      <c r="N390" s="35"/>
      <c r="O390" s="35"/>
      <c r="P390" s="35"/>
      <c r="Q390" s="35"/>
      <c r="R390" s="35"/>
      <c r="S390" s="35"/>
      <c r="T390" s="35"/>
      <c r="U390" s="35"/>
      <c r="V390" s="126"/>
      <c r="W390" s="127"/>
      <c r="X390" s="128"/>
      <c r="Y390" s="7"/>
    </row>
    <row r="391" ht="13.55" customHeight="1">
      <c r="A391" s="79"/>
      <c r="B391" s="35"/>
      <c r="C391" s="35"/>
      <c r="D391" s="35"/>
      <c r="E391" s="35"/>
      <c r="F391" s="35"/>
      <c r="G391" s="35"/>
      <c r="H391" s="35"/>
      <c r="I391" s="35"/>
      <c r="J391" s="35"/>
      <c r="K391" s="35"/>
      <c r="L391" s="35"/>
      <c r="M391" s="35"/>
      <c r="N391" s="35"/>
      <c r="O391" s="35"/>
      <c r="P391" s="35"/>
      <c r="Q391" s="35"/>
      <c r="R391" s="35"/>
      <c r="S391" s="35"/>
      <c r="T391" s="35"/>
      <c r="U391" s="35"/>
      <c r="V391" s="126"/>
      <c r="W391" s="127"/>
      <c r="X391" s="128"/>
      <c r="Y391" s="7"/>
    </row>
    <row r="392" ht="13.55" customHeight="1">
      <c r="A392" s="79"/>
      <c r="B392" s="35"/>
      <c r="C392" s="35"/>
      <c r="D392" s="35"/>
      <c r="E392" s="35"/>
      <c r="F392" s="35"/>
      <c r="G392" s="35"/>
      <c r="H392" s="35"/>
      <c r="I392" s="35"/>
      <c r="J392" s="35"/>
      <c r="K392" s="35"/>
      <c r="L392" s="35"/>
      <c r="M392" s="35"/>
      <c r="N392" s="35"/>
      <c r="O392" s="35"/>
      <c r="P392" s="35"/>
      <c r="Q392" s="35"/>
      <c r="R392" s="35"/>
      <c r="S392" s="35"/>
      <c r="T392" s="35"/>
      <c r="U392" s="35"/>
      <c r="V392" s="126"/>
      <c r="W392" s="127"/>
      <c r="X392" s="128"/>
      <c r="Y392" s="7"/>
    </row>
    <row r="393" ht="13.55" customHeight="1">
      <c r="A393" s="79"/>
      <c r="B393" s="35"/>
      <c r="C393" s="35"/>
      <c r="D393" s="35"/>
      <c r="E393" s="35"/>
      <c r="F393" s="35"/>
      <c r="G393" s="35"/>
      <c r="H393" s="35"/>
      <c r="I393" s="35"/>
      <c r="J393" s="35"/>
      <c r="K393" s="35"/>
      <c r="L393" s="35"/>
      <c r="M393" s="35"/>
      <c r="N393" s="35"/>
      <c r="O393" s="35"/>
      <c r="P393" s="35"/>
      <c r="Q393" s="35"/>
      <c r="R393" s="35"/>
      <c r="S393" s="35"/>
      <c r="T393" s="35"/>
      <c r="U393" s="35"/>
      <c r="V393" s="126"/>
      <c r="W393" s="127"/>
      <c r="X393" s="128"/>
      <c r="Y393" s="7"/>
    </row>
    <row r="394" ht="13.55" customHeight="1">
      <c r="A394" s="79"/>
      <c r="B394" s="35"/>
      <c r="C394" s="35"/>
      <c r="D394" s="35"/>
      <c r="E394" s="35"/>
      <c r="F394" s="35"/>
      <c r="G394" s="35"/>
      <c r="H394" s="35"/>
      <c r="I394" s="35"/>
      <c r="J394" s="35"/>
      <c r="K394" s="35"/>
      <c r="L394" s="35"/>
      <c r="M394" s="35"/>
      <c r="N394" s="35"/>
      <c r="O394" s="35"/>
      <c r="P394" s="35"/>
      <c r="Q394" s="35"/>
      <c r="R394" s="35"/>
      <c r="S394" s="35"/>
      <c r="T394" s="35"/>
      <c r="U394" s="35"/>
      <c r="V394" s="126"/>
      <c r="W394" s="127"/>
      <c r="X394" s="128"/>
      <c r="Y394" s="7"/>
    </row>
    <row r="395" ht="13.55" customHeight="1">
      <c r="A395" s="79"/>
      <c r="B395" s="35"/>
      <c r="C395" s="35"/>
      <c r="D395" s="35"/>
      <c r="E395" s="35"/>
      <c r="F395" s="35"/>
      <c r="G395" s="35"/>
      <c r="H395" s="35"/>
      <c r="I395" s="35"/>
      <c r="J395" s="35"/>
      <c r="K395" s="35"/>
      <c r="L395" s="35"/>
      <c r="M395" s="35"/>
      <c r="N395" s="35"/>
      <c r="O395" s="35"/>
      <c r="P395" s="35"/>
      <c r="Q395" s="35"/>
      <c r="R395" s="35"/>
      <c r="S395" s="35"/>
      <c r="T395" s="35"/>
      <c r="U395" s="35"/>
      <c r="V395" s="126"/>
      <c r="W395" s="127"/>
      <c r="X395" s="128"/>
      <c r="Y395" s="7"/>
    </row>
    <row r="396" ht="13.55" customHeight="1">
      <c r="A396" s="79"/>
      <c r="B396" s="35"/>
      <c r="C396" s="35"/>
      <c r="D396" s="35"/>
      <c r="E396" s="35"/>
      <c r="F396" s="35"/>
      <c r="G396" s="35"/>
      <c r="H396" s="35"/>
      <c r="I396" s="35"/>
      <c r="J396" s="35"/>
      <c r="K396" s="35"/>
      <c r="L396" s="35"/>
      <c r="M396" s="35"/>
      <c r="N396" s="35"/>
      <c r="O396" s="35"/>
      <c r="P396" s="35"/>
      <c r="Q396" s="35"/>
      <c r="R396" s="35"/>
      <c r="S396" s="35"/>
      <c r="T396" s="35"/>
      <c r="U396" s="35"/>
      <c r="V396" s="126"/>
      <c r="W396" s="127"/>
      <c r="X396" s="128"/>
      <c r="Y396" s="7"/>
    </row>
    <row r="397" ht="13.55" customHeight="1">
      <c r="A397" s="79"/>
      <c r="B397" s="35"/>
      <c r="C397" s="35"/>
      <c r="D397" s="35"/>
      <c r="E397" s="35"/>
      <c r="F397" s="35"/>
      <c r="G397" s="35"/>
      <c r="H397" s="35"/>
      <c r="I397" s="35"/>
      <c r="J397" s="35"/>
      <c r="K397" s="35"/>
      <c r="L397" s="35"/>
      <c r="M397" s="35"/>
      <c r="N397" s="35"/>
      <c r="O397" s="35"/>
      <c r="P397" s="35"/>
      <c r="Q397" s="35"/>
      <c r="R397" s="35"/>
      <c r="S397" s="35"/>
      <c r="T397" s="35"/>
      <c r="U397" s="35"/>
      <c r="V397" s="126"/>
      <c r="W397" s="127"/>
      <c r="X397" s="128"/>
      <c r="Y397" s="7"/>
    </row>
    <row r="398" ht="13.55" customHeight="1">
      <c r="A398" s="79"/>
      <c r="B398" s="35"/>
      <c r="C398" s="35"/>
      <c r="D398" s="35"/>
      <c r="E398" s="35"/>
      <c r="F398" s="35"/>
      <c r="G398" s="35"/>
      <c r="H398" s="35"/>
      <c r="I398" s="35"/>
      <c r="J398" s="35"/>
      <c r="K398" s="35"/>
      <c r="L398" s="35"/>
      <c r="M398" s="35"/>
      <c r="N398" s="35"/>
      <c r="O398" s="35"/>
      <c r="P398" s="35"/>
      <c r="Q398" s="35"/>
      <c r="R398" s="35"/>
      <c r="S398" s="35"/>
      <c r="T398" s="35"/>
      <c r="U398" s="35"/>
      <c r="V398" s="126"/>
      <c r="W398" s="127"/>
      <c r="X398" s="128"/>
      <c r="Y398" s="7"/>
    </row>
    <row r="399" ht="13.55" customHeight="1">
      <c r="A399" s="79"/>
      <c r="B399" s="35"/>
      <c r="C399" s="35"/>
      <c r="D399" s="35"/>
      <c r="E399" s="35"/>
      <c r="F399" s="35"/>
      <c r="G399" s="35"/>
      <c r="H399" s="35"/>
      <c r="I399" s="35"/>
      <c r="J399" s="35"/>
      <c r="K399" s="35"/>
      <c r="L399" s="35"/>
      <c r="M399" s="35"/>
      <c r="N399" s="35"/>
      <c r="O399" s="35"/>
      <c r="P399" s="35"/>
      <c r="Q399" s="35"/>
      <c r="R399" s="35"/>
      <c r="S399" s="35"/>
      <c r="T399" s="35"/>
      <c r="U399" s="35"/>
      <c r="V399" s="126"/>
      <c r="W399" s="127"/>
      <c r="X399" s="128"/>
      <c r="Y399" s="7"/>
    </row>
    <row r="400" ht="13.55" customHeight="1">
      <c r="A400" s="79"/>
      <c r="B400" s="35"/>
      <c r="C400" s="35"/>
      <c r="D400" s="35"/>
      <c r="E400" s="35"/>
      <c r="F400" s="35"/>
      <c r="G400" s="35"/>
      <c r="H400" s="35"/>
      <c r="I400" s="35"/>
      <c r="J400" s="35"/>
      <c r="K400" s="35"/>
      <c r="L400" s="35"/>
      <c r="M400" s="35"/>
      <c r="N400" s="35"/>
      <c r="O400" s="35"/>
      <c r="P400" s="35"/>
      <c r="Q400" s="35"/>
      <c r="R400" s="35"/>
      <c r="S400" s="35"/>
      <c r="T400" s="35"/>
      <c r="U400" s="35"/>
      <c r="V400" s="126"/>
      <c r="W400" s="127"/>
      <c r="X400" s="128"/>
      <c r="Y400" s="7"/>
    </row>
    <row r="401" ht="13.55" customHeight="1">
      <c r="A401" s="79"/>
      <c r="B401" s="35"/>
      <c r="C401" s="35"/>
      <c r="D401" s="35"/>
      <c r="E401" s="35"/>
      <c r="F401" s="35"/>
      <c r="G401" s="35"/>
      <c r="H401" s="35"/>
      <c r="I401" s="35"/>
      <c r="J401" s="35"/>
      <c r="K401" s="35"/>
      <c r="L401" s="35"/>
      <c r="M401" s="35"/>
      <c r="N401" s="35"/>
      <c r="O401" s="35"/>
      <c r="P401" s="35"/>
      <c r="Q401" s="35"/>
      <c r="R401" s="35"/>
      <c r="S401" s="35"/>
      <c r="T401" s="35"/>
      <c r="U401" s="35"/>
      <c r="V401" s="126"/>
      <c r="W401" s="127"/>
      <c r="X401" s="128"/>
      <c r="Y401" s="7"/>
    </row>
    <row r="402" ht="13.55" customHeight="1">
      <c r="A402" s="79"/>
      <c r="B402" s="35"/>
      <c r="C402" s="35"/>
      <c r="D402" s="35"/>
      <c r="E402" s="35"/>
      <c r="F402" s="35"/>
      <c r="G402" s="35"/>
      <c r="H402" s="35"/>
      <c r="I402" s="35"/>
      <c r="J402" s="35"/>
      <c r="K402" s="35"/>
      <c r="L402" s="35"/>
      <c r="M402" s="35"/>
      <c r="N402" s="35"/>
      <c r="O402" s="35"/>
      <c r="P402" s="35"/>
      <c r="Q402" s="35"/>
      <c r="R402" s="35"/>
      <c r="S402" s="35"/>
      <c r="T402" s="35"/>
      <c r="U402" s="35"/>
      <c r="V402" s="126"/>
      <c r="W402" s="127"/>
      <c r="X402" s="128"/>
      <c r="Y402" s="7"/>
    </row>
    <row r="403" ht="13.55" customHeight="1">
      <c r="A403" s="79"/>
      <c r="B403" s="35"/>
      <c r="C403" s="35"/>
      <c r="D403" s="35"/>
      <c r="E403" s="35"/>
      <c r="F403" s="35"/>
      <c r="G403" s="35"/>
      <c r="H403" s="35"/>
      <c r="I403" s="35"/>
      <c r="J403" s="35"/>
      <c r="K403" s="35"/>
      <c r="L403" s="35"/>
      <c r="M403" s="35"/>
      <c r="N403" s="35"/>
      <c r="O403" s="35"/>
      <c r="P403" s="35"/>
      <c r="Q403" s="35"/>
      <c r="R403" s="35"/>
      <c r="S403" s="35"/>
      <c r="T403" s="35"/>
      <c r="U403" s="35"/>
      <c r="V403" s="126"/>
      <c r="W403" s="127"/>
      <c r="X403" s="128"/>
      <c r="Y403" s="7"/>
    </row>
    <row r="404" ht="13.55" customHeight="1">
      <c r="A404" s="79"/>
      <c r="B404" s="35"/>
      <c r="C404" s="35"/>
      <c r="D404" s="35"/>
      <c r="E404" s="35"/>
      <c r="F404" s="35"/>
      <c r="G404" s="35"/>
      <c r="H404" s="35"/>
      <c r="I404" s="35"/>
      <c r="J404" s="35"/>
      <c r="K404" s="35"/>
      <c r="L404" s="35"/>
      <c r="M404" s="35"/>
      <c r="N404" s="35"/>
      <c r="O404" s="35"/>
      <c r="P404" s="35"/>
      <c r="Q404" s="35"/>
      <c r="R404" s="35"/>
      <c r="S404" s="35"/>
      <c r="T404" s="35"/>
      <c r="U404" s="35"/>
      <c r="V404" s="126"/>
      <c r="W404" s="127"/>
      <c r="X404" s="128"/>
      <c r="Y404" s="7"/>
    </row>
    <row r="405" ht="13.55" customHeight="1">
      <c r="A405" s="79"/>
      <c r="B405" s="35"/>
      <c r="C405" s="35"/>
      <c r="D405" s="35"/>
      <c r="E405" s="35"/>
      <c r="F405" s="35"/>
      <c r="G405" s="35"/>
      <c r="H405" s="35"/>
      <c r="I405" s="35"/>
      <c r="J405" s="35"/>
      <c r="K405" s="35"/>
      <c r="L405" s="35"/>
      <c r="M405" s="35"/>
      <c r="N405" s="35"/>
      <c r="O405" s="35"/>
      <c r="P405" s="35"/>
      <c r="Q405" s="35"/>
      <c r="R405" s="35"/>
      <c r="S405" s="35"/>
      <c r="T405" s="35"/>
      <c r="U405" s="35"/>
      <c r="V405" s="126"/>
      <c r="W405" s="127"/>
      <c r="X405" s="128"/>
      <c r="Y405" s="7"/>
    </row>
    <row r="406" ht="13.55" customHeight="1">
      <c r="A406" s="79"/>
      <c r="B406" s="35"/>
      <c r="C406" s="35"/>
      <c r="D406" s="35"/>
      <c r="E406" s="35"/>
      <c r="F406" s="35"/>
      <c r="G406" s="35"/>
      <c r="H406" s="35"/>
      <c r="I406" s="35"/>
      <c r="J406" s="35"/>
      <c r="K406" s="35"/>
      <c r="L406" s="35"/>
      <c r="M406" s="35"/>
      <c r="N406" s="35"/>
      <c r="O406" s="35"/>
      <c r="P406" s="35"/>
      <c r="Q406" s="35"/>
      <c r="R406" s="35"/>
      <c r="S406" s="35"/>
      <c r="T406" s="35"/>
      <c r="U406" s="35"/>
      <c r="V406" s="126"/>
      <c r="W406" s="127"/>
      <c r="X406" s="128"/>
      <c r="Y406" s="7"/>
    </row>
    <row r="407" ht="13.55" customHeight="1">
      <c r="A407" s="79"/>
      <c r="B407" s="35"/>
      <c r="C407" s="35"/>
      <c r="D407" s="35"/>
      <c r="E407" s="35"/>
      <c r="F407" s="35"/>
      <c r="G407" s="35"/>
      <c r="H407" s="35"/>
      <c r="I407" s="35"/>
      <c r="J407" s="35"/>
      <c r="K407" s="35"/>
      <c r="L407" s="35"/>
      <c r="M407" s="35"/>
      <c r="N407" s="35"/>
      <c r="O407" s="35"/>
      <c r="P407" s="35"/>
      <c r="Q407" s="35"/>
      <c r="R407" s="35"/>
      <c r="S407" s="35"/>
      <c r="T407" s="35"/>
      <c r="U407" s="35"/>
      <c r="V407" s="126"/>
      <c r="W407" s="127"/>
      <c r="X407" s="128"/>
      <c r="Y407" s="7"/>
    </row>
    <row r="408" ht="13.55" customHeight="1">
      <c r="A408" s="79"/>
      <c r="B408" s="35"/>
      <c r="C408" s="35"/>
      <c r="D408" s="35"/>
      <c r="E408" s="35"/>
      <c r="F408" s="35"/>
      <c r="G408" s="35"/>
      <c r="H408" s="35"/>
      <c r="I408" s="35"/>
      <c r="J408" s="35"/>
      <c r="K408" s="35"/>
      <c r="L408" s="35"/>
      <c r="M408" s="35"/>
      <c r="N408" s="35"/>
      <c r="O408" s="35"/>
      <c r="P408" s="35"/>
      <c r="Q408" s="35"/>
      <c r="R408" s="35"/>
      <c r="S408" s="35"/>
      <c r="T408" s="35"/>
      <c r="U408" s="35"/>
      <c r="V408" s="126"/>
      <c r="W408" s="127"/>
      <c r="X408" s="128"/>
      <c r="Y408" s="7"/>
    </row>
    <row r="409" ht="13.55" customHeight="1">
      <c r="A409" s="79"/>
      <c r="B409" s="35"/>
      <c r="C409" s="35"/>
      <c r="D409" s="35"/>
      <c r="E409" s="35"/>
      <c r="F409" s="35"/>
      <c r="G409" s="35"/>
      <c r="H409" s="35"/>
      <c r="I409" s="35"/>
      <c r="J409" s="35"/>
      <c r="K409" s="35"/>
      <c r="L409" s="35"/>
      <c r="M409" s="35"/>
      <c r="N409" s="35"/>
      <c r="O409" s="35"/>
      <c r="P409" s="35"/>
      <c r="Q409" s="35"/>
      <c r="R409" s="35"/>
      <c r="S409" s="35"/>
      <c r="T409" s="35"/>
      <c r="U409" s="35"/>
      <c r="V409" s="126"/>
      <c r="W409" s="127"/>
      <c r="X409" s="128"/>
      <c r="Y409" s="7"/>
    </row>
    <row r="410" ht="13.55" customHeight="1">
      <c r="A410" s="79"/>
      <c r="B410" s="35"/>
      <c r="C410" s="35"/>
      <c r="D410" s="35"/>
      <c r="E410" s="35"/>
      <c r="F410" s="35"/>
      <c r="G410" s="35"/>
      <c r="H410" s="35"/>
      <c r="I410" s="35"/>
      <c r="J410" s="35"/>
      <c r="K410" s="35"/>
      <c r="L410" s="35"/>
      <c r="M410" s="35"/>
      <c r="N410" s="35"/>
      <c r="O410" s="35"/>
      <c r="P410" s="35"/>
      <c r="Q410" s="35"/>
      <c r="R410" s="35"/>
      <c r="S410" s="35"/>
      <c r="T410" s="35"/>
      <c r="U410" s="35"/>
      <c r="V410" s="126"/>
      <c r="W410" s="127"/>
      <c r="X410" s="128"/>
      <c r="Y410" s="7"/>
    </row>
    <row r="411" ht="13.55" customHeight="1">
      <c r="A411" s="79"/>
      <c r="B411" s="35"/>
      <c r="C411" s="35"/>
      <c r="D411" s="35"/>
      <c r="E411" s="35"/>
      <c r="F411" s="35"/>
      <c r="G411" s="35"/>
      <c r="H411" s="35"/>
      <c r="I411" s="35"/>
      <c r="J411" s="35"/>
      <c r="K411" s="35"/>
      <c r="L411" s="35"/>
      <c r="M411" s="35"/>
      <c r="N411" s="35"/>
      <c r="O411" s="35"/>
      <c r="P411" s="35"/>
      <c r="Q411" s="35"/>
      <c r="R411" s="35"/>
      <c r="S411" s="35"/>
      <c r="T411" s="35"/>
      <c r="U411" s="35"/>
      <c r="V411" s="126"/>
      <c r="W411" s="127"/>
      <c r="X411" s="128"/>
      <c r="Y411" s="7"/>
    </row>
    <row r="412" ht="13.55" customHeight="1">
      <c r="A412" s="79"/>
      <c r="B412" s="35"/>
      <c r="C412" s="35"/>
      <c r="D412" s="35"/>
      <c r="E412" s="35"/>
      <c r="F412" s="35"/>
      <c r="G412" s="35"/>
      <c r="H412" s="35"/>
      <c r="I412" s="35"/>
      <c r="J412" s="35"/>
      <c r="K412" s="35"/>
      <c r="L412" s="35"/>
      <c r="M412" s="35"/>
      <c r="N412" s="35"/>
      <c r="O412" s="35"/>
      <c r="P412" s="35"/>
      <c r="Q412" s="35"/>
      <c r="R412" s="35"/>
      <c r="S412" s="35"/>
      <c r="T412" s="35"/>
      <c r="U412" s="35"/>
      <c r="V412" s="126"/>
      <c r="W412" s="127"/>
      <c r="X412" s="128"/>
      <c r="Y412" s="7"/>
    </row>
    <row r="413" ht="13.55" customHeight="1">
      <c r="A413" s="79"/>
      <c r="B413" s="35"/>
      <c r="C413" s="35"/>
      <c r="D413" s="35"/>
      <c r="E413" s="35"/>
      <c r="F413" s="35"/>
      <c r="G413" s="35"/>
      <c r="H413" s="35"/>
      <c r="I413" s="35"/>
      <c r="J413" s="35"/>
      <c r="K413" s="35"/>
      <c r="L413" s="35"/>
      <c r="M413" s="35"/>
      <c r="N413" s="35"/>
      <c r="O413" s="35"/>
      <c r="P413" s="35"/>
      <c r="Q413" s="35"/>
      <c r="R413" s="35"/>
      <c r="S413" s="35"/>
      <c r="T413" s="35"/>
      <c r="U413" s="35"/>
      <c r="V413" s="126"/>
      <c r="W413" s="127"/>
      <c r="X413" s="128"/>
      <c r="Y413" s="7"/>
    </row>
    <row r="414" ht="13.55" customHeight="1">
      <c r="A414" s="79"/>
      <c r="B414" s="35"/>
      <c r="C414" s="35"/>
      <c r="D414" s="35"/>
      <c r="E414" s="35"/>
      <c r="F414" s="35"/>
      <c r="G414" s="35"/>
      <c r="H414" s="35"/>
      <c r="I414" s="35"/>
      <c r="J414" s="35"/>
      <c r="K414" s="35"/>
      <c r="L414" s="35"/>
      <c r="M414" s="35"/>
      <c r="N414" s="35"/>
      <c r="O414" s="35"/>
      <c r="P414" s="35"/>
      <c r="Q414" s="35"/>
      <c r="R414" s="35"/>
      <c r="S414" s="35"/>
      <c r="T414" s="35"/>
      <c r="U414" s="35"/>
      <c r="V414" s="126"/>
      <c r="W414" s="127"/>
      <c r="X414" s="128"/>
      <c r="Y414" s="7"/>
    </row>
    <row r="415" ht="13.55" customHeight="1">
      <c r="A415" s="79"/>
      <c r="B415" s="35"/>
      <c r="C415" s="35"/>
      <c r="D415" s="35"/>
      <c r="E415" s="35"/>
      <c r="F415" s="35"/>
      <c r="G415" s="35"/>
      <c r="H415" s="35"/>
      <c r="I415" s="35"/>
      <c r="J415" s="35"/>
      <c r="K415" s="35"/>
      <c r="L415" s="35"/>
      <c r="M415" s="35"/>
      <c r="N415" s="35"/>
      <c r="O415" s="35"/>
      <c r="P415" s="35"/>
      <c r="Q415" s="35"/>
      <c r="R415" s="35"/>
      <c r="S415" s="35"/>
      <c r="T415" s="35"/>
      <c r="U415" s="35"/>
      <c r="V415" s="126"/>
      <c r="W415" s="127"/>
      <c r="X415" s="128"/>
      <c r="Y415" s="7"/>
    </row>
    <row r="416" ht="13.55" customHeight="1">
      <c r="A416" s="79"/>
      <c r="B416" s="35"/>
      <c r="C416" s="35"/>
      <c r="D416" s="35"/>
      <c r="E416" s="35"/>
      <c r="F416" s="35"/>
      <c r="G416" s="35"/>
      <c r="H416" s="35"/>
      <c r="I416" s="35"/>
      <c r="J416" s="35"/>
      <c r="K416" s="35"/>
      <c r="L416" s="35"/>
      <c r="M416" s="35"/>
      <c r="N416" s="35"/>
      <c r="O416" s="35"/>
      <c r="P416" s="35"/>
      <c r="Q416" s="35"/>
      <c r="R416" s="35"/>
      <c r="S416" s="35"/>
      <c r="T416" s="35"/>
      <c r="U416" s="35"/>
      <c r="V416" s="126"/>
      <c r="W416" s="127"/>
      <c r="X416" s="128"/>
      <c r="Y416" s="7"/>
    </row>
    <row r="417" ht="13.55" customHeight="1">
      <c r="A417" s="79"/>
      <c r="B417" s="35"/>
      <c r="C417" s="35"/>
      <c r="D417" s="35"/>
      <c r="E417" s="35"/>
      <c r="F417" s="35"/>
      <c r="G417" s="35"/>
      <c r="H417" s="35"/>
      <c r="I417" s="35"/>
      <c r="J417" s="35"/>
      <c r="K417" s="35"/>
      <c r="L417" s="35"/>
      <c r="M417" s="35"/>
      <c r="N417" s="35"/>
      <c r="O417" s="35"/>
      <c r="P417" s="35"/>
      <c r="Q417" s="35"/>
      <c r="R417" s="35"/>
      <c r="S417" s="35"/>
      <c r="T417" s="35"/>
      <c r="U417" s="35"/>
      <c r="V417" s="126"/>
      <c r="W417" s="127"/>
      <c r="X417" s="128"/>
      <c r="Y417" s="7"/>
    </row>
    <row r="418" ht="13.55" customHeight="1">
      <c r="A418" s="79"/>
      <c r="B418" s="35"/>
      <c r="C418" s="35"/>
      <c r="D418" s="35"/>
      <c r="E418" s="35"/>
      <c r="F418" s="35"/>
      <c r="G418" s="35"/>
      <c r="H418" s="35"/>
      <c r="I418" s="35"/>
      <c r="J418" s="35"/>
      <c r="K418" s="35"/>
      <c r="L418" s="35"/>
      <c r="M418" s="35"/>
      <c r="N418" s="35"/>
      <c r="O418" s="35"/>
      <c r="P418" s="35"/>
      <c r="Q418" s="35"/>
      <c r="R418" s="35"/>
      <c r="S418" s="35"/>
      <c r="T418" s="35"/>
      <c r="U418" s="35"/>
      <c r="V418" s="126"/>
      <c r="W418" s="127"/>
      <c r="X418" s="128"/>
      <c r="Y418" s="7"/>
    </row>
    <row r="419" ht="13.55" customHeight="1">
      <c r="A419" s="79"/>
      <c r="B419" s="35"/>
      <c r="C419" s="35"/>
      <c r="D419" s="35"/>
      <c r="E419" s="35"/>
      <c r="F419" s="35"/>
      <c r="G419" s="35"/>
      <c r="H419" s="35"/>
      <c r="I419" s="35"/>
      <c r="J419" s="35"/>
      <c r="K419" s="35"/>
      <c r="L419" s="35"/>
      <c r="M419" s="35"/>
      <c r="N419" s="35"/>
      <c r="O419" s="35"/>
      <c r="P419" s="35"/>
      <c r="Q419" s="35"/>
      <c r="R419" s="35"/>
      <c r="S419" s="35"/>
      <c r="T419" s="35"/>
      <c r="U419" s="35"/>
      <c r="V419" s="126"/>
      <c r="W419" s="127"/>
      <c r="X419" s="128"/>
      <c r="Y419" s="7"/>
    </row>
    <row r="420" ht="13.55" customHeight="1">
      <c r="A420" s="79"/>
      <c r="B420" s="35"/>
      <c r="C420" s="35"/>
      <c r="D420" s="35"/>
      <c r="E420" s="35"/>
      <c r="F420" s="35"/>
      <c r="G420" s="35"/>
      <c r="H420" s="35"/>
      <c r="I420" s="35"/>
      <c r="J420" s="35"/>
      <c r="K420" s="35"/>
      <c r="L420" s="35"/>
      <c r="M420" s="35"/>
      <c r="N420" s="35"/>
      <c r="O420" s="35"/>
      <c r="P420" s="35"/>
      <c r="Q420" s="35"/>
      <c r="R420" s="35"/>
      <c r="S420" s="35"/>
      <c r="T420" s="35"/>
      <c r="U420" s="35"/>
      <c r="V420" s="126"/>
      <c r="W420" s="127"/>
      <c r="X420" s="128"/>
      <c r="Y420" s="7"/>
    </row>
    <row r="421" ht="13.55" customHeight="1">
      <c r="A421" s="79"/>
      <c r="B421" s="35"/>
      <c r="C421" s="35"/>
      <c r="D421" s="35"/>
      <c r="E421" s="35"/>
      <c r="F421" s="35"/>
      <c r="G421" s="35"/>
      <c r="H421" s="35"/>
      <c r="I421" s="35"/>
      <c r="J421" s="35"/>
      <c r="K421" s="35"/>
      <c r="L421" s="35"/>
      <c r="M421" s="35"/>
      <c r="N421" s="35"/>
      <c r="O421" s="35"/>
      <c r="P421" s="35"/>
      <c r="Q421" s="35"/>
      <c r="R421" s="35"/>
      <c r="S421" s="35"/>
      <c r="T421" s="35"/>
      <c r="U421" s="35"/>
      <c r="V421" s="126"/>
      <c r="W421" s="127"/>
      <c r="X421" s="128"/>
      <c r="Y421" s="7"/>
    </row>
    <row r="422" ht="13.55" customHeight="1">
      <c r="A422" s="79"/>
      <c r="B422" s="35"/>
      <c r="C422" s="35"/>
      <c r="D422" s="35"/>
      <c r="E422" s="35"/>
      <c r="F422" s="35"/>
      <c r="G422" s="35"/>
      <c r="H422" s="35"/>
      <c r="I422" s="35"/>
      <c r="J422" s="35"/>
      <c r="K422" s="35"/>
      <c r="L422" s="35"/>
      <c r="M422" s="35"/>
      <c r="N422" s="35"/>
      <c r="O422" s="35"/>
      <c r="P422" s="35"/>
      <c r="Q422" s="35"/>
      <c r="R422" s="35"/>
      <c r="S422" s="35"/>
      <c r="T422" s="35"/>
      <c r="U422" s="35"/>
      <c r="V422" s="126"/>
      <c r="W422" s="127"/>
      <c r="X422" s="128"/>
      <c r="Y422" s="7"/>
    </row>
    <row r="423" ht="13.55" customHeight="1">
      <c r="A423" s="79"/>
      <c r="B423" s="35"/>
      <c r="C423" s="35"/>
      <c r="D423" s="35"/>
      <c r="E423" s="35"/>
      <c r="F423" s="35"/>
      <c r="G423" s="35"/>
      <c r="H423" s="35"/>
      <c r="I423" s="35"/>
      <c r="J423" s="35"/>
      <c r="K423" s="35"/>
      <c r="L423" s="35"/>
      <c r="M423" s="35"/>
      <c r="N423" s="35"/>
      <c r="O423" s="35"/>
      <c r="P423" s="35"/>
      <c r="Q423" s="35"/>
      <c r="R423" s="35"/>
      <c r="S423" s="35"/>
      <c r="T423" s="35"/>
      <c r="U423" s="35"/>
      <c r="V423" s="126"/>
      <c r="W423" s="127"/>
      <c r="X423" s="128"/>
      <c r="Y423" s="7"/>
    </row>
    <row r="424" ht="13.55" customHeight="1">
      <c r="A424" s="79"/>
      <c r="B424" s="35"/>
      <c r="C424" s="35"/>
      <c r="D424" s="35"/>
      <c r="E424" s="35"/>
      <c r="F424" s="35"/>
      <c r="G424" s="35"/>
      <c r="H424" s="35"/>
      <c r="I424" s="35"/>
      <c r="J424" s="35"/>
      <c r="K424" s="35"/>
      <c r="L424" s="35"/>
      <c r="M424" s="35"/>
      <c r="N424" s="35"/>
      <c r="O424" s="35"/>
      <c r="P424" s="35"/>
      <c r="Q424" s="35"/>
      <c r="R424" s="35"/>
      <c r="S424" s="35"/>
      <c r="T424" s="35"/>
      <c r="U424" s="35"/>
      <c r="V424" s="126"/>
      <c r="W424" s="127"/>
      <c r="X424" s="128"/>
      <c r="Y424" s="7"/>
    </row>
    <row r="425" ht="13.55" customHeight="1">
      <c r="A425" s="79"/>
      <c r="B425" s="35"/>
      <c r="C425" s="35"/>
      <c r="D425" s="35"/>
      <c r="E425" s="35"/>
      <c r="F425" s="35"/>
      <c r="G425" s="35"/>
      <c r="H425" s="35"/>
      <c r="I425" s="35"/>
      <c r="J425" s="35"/>
      <c r="K425" s="35"/>
      <c r="L425" s="35"/>
      <c r="M425" s="35"/>
      <c r="N425" s="35"/>
      <c r="O425" s="35"/>
      <c r="P425" s="35"/>
      <c r="Q425" s="35"/>
      <c r="R425" s="35"/>
      <c r="S425" s="35"/>
      <c r="T425" s="35"/>
      <c r="U425" s="35"/>
      <c r="V425" s="126"/>
      <c r="W425" s="127"/>
      <c r="X425" s="128"/>
      <c r="Y425" s="7"/>
    </row>
    <row r="426" ht="13.55" customHeight="1">
      <c r="A426" s="79"/>
      <c r="B426" s="35"/>
      <c r="C426" s="35"/>
      <c r="D426" s="35"/>
      <c r="E426" s="35"/>
      <c r="F426" s="35"/>
      <c r="G426" s="35"/>
      <c r="H426" s="35"/>
      <c r="I426" s="35"/>
      <c r="J426" s="35"/>
      <c r="K426" s="35"/>
      <c r="L426" s="35"/>
      <c r="M426" s="35"/>
      <c r="N426" s="35"/>
      <c r="O426" s="35"/>
      <c r="P426" s="35"/>
      <c r="Q426" s="35"/>
      <c r="R426" s="35"/>
      <c r="S426" s="35"/>
      <c r="T426" s="35"/>
      <c r="U426" s="35"/>
      <c r="V426" s="126"/>
      <c r="W426" s="127"/>
      <c r="X426" s="128"/>
      <c r="Y426" s="7"/>
    </row>
    <row r="427" ht="13.55" customHeight="1">
      <c r="A427" s="79"/>
      <c r="B427" s="35"/>
      <c r="C427" s="35"/>
      <c r="D427" s="35"/>
      <c r="E427" s="35"/>
      <c r="F427" s="35"/>
      <c r="G427" s="35"/>
      <c r="H427" s="35"/>
      <c r="I427" s="35"/>
      <c r="J427" s="35"/>
      <c r="K427" s="35"/>
      <c r="L427" s="35"/>
      <c r="M427" s="35"/>
      <c r="N427" s="35"/>
      <c r="O427" s="35"/>
      <c r="P427" s="35"/>
      <c r="Q427" s="35"/>
      <c r="R427" s="35"/>
      <c r="S427" s="35"/>
      <c r="T427" s="35"/>
      <c r="U427" s="35"/>
      <c r="V427" s="126"/>
      <c r="W427" s="127"/>
      <c r="X427" s="128"/>
      <c r="Y427" s="7"/>
    </row>
    <row r="428" ht="13.55" customHeight="1">
      <c r="A428" s="79"/>
      <c r="B428" s="35"/>
      <c r="C428" s="35"/>
      <c r="D428" s="35"/>
      <c r="E428" s="35"/>
      <c r="F428" s="35"/>
      <c r="G428" s="35"/>
      <c r="H428" s="35"/>
      <c r="I428" s="35"/>
      <c r="J428" s="35"/>
      <c r="K428" s="35"/>
      <c r="L428" s="35"/>
      <c r="M428" s="35"/>
      <c r="N428" s="35"/>
      <c r="O428" s="35"/>
      <c r="P428" s="35"/>
      <c r="Q428" s="35"/>
      <c r="R428" s="35"/>
      <c r="S428" s="35"/>
      <c r="T428" s="35"/>
      <c r="U428" s="35"/>
      <c r="V428" s="126"/>
      <c r="W428" s="127"/>
      <c r="X428" s="128"/>
      <c r="Y428" s="7"/>
    </row>
    <row r="429" ht="13.55" customHeight="1">
      <c r="A429" s="79"/>
      <c r="B429" s="35"/>
      <c r="C429" s="35"/>
      <c r="D429" s="35"/>
      <c r="E429" s="35"/>
      <c r="F429" s="35"/>
      <c r="G429" s="35"/>
      <c r="H429" s="35"/>
      <c r="I429" s="35"/>
      <c r="J429" s="35"/>
      <c r="K429" s="35"/>
      <c r="L429" s="35"/>
      <c r="M429" s="35"/>
      <c r="N429" s="35"/>
      <c r="O429" s="35"/>
      <c r="P429" s="35"/>
      <c r="Q429" s="35"/>
      <c r="R429" s="35"/>
      <c r="S429" s="35"/>
      <c r="T429" s="35"/>
      <c r="U429" s="35"/>
      <c r="V429" s="126"/>
      <c r="W429" s="127"/>
      <c r="X429" s="128"/>
      <c r="Y429" s="7"/>
    </row>
    <row r="430" ht="13.55" customHeight="1">
      <c r="A430" s="79"/>
      <c r="B430" s="35"/>
      <c r="C430" s="35"/>
      <c r="D430" s="35"/>
      <c r="E430" s="35"/>
      <c r="F430" s="35"/>
      <c r="G430" s="35"/>
      <c r="H430" s="35"/>
      <c r="I430" s="35"/>
      <c r="J430" s="35"/>
      <c r="K430" s="35"/>
      <c r="L430" s="35"/>
      <c r="M430" s="35"/>
      <c r="N430" s="35"/>
      <c r="O430" s="35"/>
      <c r="P430" s="35"/>
      <c r="Q430" s="35"/>
      <c r="R430" s="35"/>
      <c r="S430" s="35"/>
      <c r="T430" s="35"/>
      <c r="U430" s="35"/>
      <c r="V430" s="126"/>
      <c r="W430" s="127"/>
      <c r="X430" s="128"/>
      <c r="Y430" s="7"/>
    </row>
    <row r="431" ht="13.55" customHeight="1">
      <c r="A431" s="79"/>
      <c r="B431" s="35"/>
      <c r="C431" s="35"/>
      <c r="D431" s="35"/>
      <c r="E431" s="35"/>
      <c r="F431" s="35"/>
      <c r="G431" s="35"/>
      <c r="H431" s="35"/>
      <c r="I431" s="35"/>
      <c r="J431" s="35"/>
      <c r="K431" s="35"/>
      <c r="L431" s="35"/>
      <c r="M431" s="35"/>
      <c r="N431" s="35"/>
      <c r="O431" s="35"/>
      <c r="P431" s="35"/>
      <c r="Q431" s="35"/>
      <c r="R431" s="35"/>
      <c r="S431" s="35"/>
      <c r="T431" s="35"/>
      <c r="U431" s="35"/>
      <c r="V431" s="126"/>
      <c r="W431" s="127"/>
      <c r="X431" s="128"/>
      <c r="Y431" s="7"/>
    </row>
    <row r="432" ht="13.55" customHeight="1">
      <c r="A432" s="79"/>
      <c r="B432" s="35"/>
      <c r="C432" s="35"/>
      <c r="D432" s="35"/>
      <c r="E432" s="35"/>
      <c r="F432" s="35"/>
      <c r="G432" s="35"/>
      <c r="H432" s="35"/>
      <c r="I432" s="35"/>
      <c r="J432" s="35"/>
      <c r="K432" s="35"/>
      <c r="L432" s="35"/>
      <c r="M432" s="35"/>
      <c r="N432" s="35"/>
      <c r="O432" s="35"/>
      <c r="P432" s="35"/>
      <c r="Q432" s="35"/>
      <c r="R432" s="35"/>
      <c r="S432" s="35"/>
      <c r="T432" s="35"/>
      <c r="U432" s="35"/>
      <c r="V432" s="126"/>
      <c r="W432" s="127"/>
      <c r="X432" s="128"/>
      <c r="Y432" s="7"/>
    </row>
    <row r="433" ht="13.55" customHeight="1">
      <c r="A433" s="79"/>
      <c r="B433" s="35"/>
      <c r="C433" s="35"/>
      <c r="D433" s="35"/>
      <c r="E433" s="35"/>
      <c r="F433" s="35"/>
      <c r="G433" s="35"/>
      <c r="H433" s="35"/>
      <c r="I433" s="35"/>
      <c r="J433" s="35"/>
      <c r="K433" s="35"/>
      <c r="L433" s="35"/>
      <c r="M433" s="35"/>
      <c r="N433" s="35"/>
      <c r="O433" s="35"/>
      <c r="P433" s="35"/>
      <c r="Q433" s="35"/>
      <c r="R433" s="35"/>
      <c r="S433" s="35"/>
      <c r="T433" s="35"/>
      <c r="U433" s="35"/>
      <c r="V433" s="126"/>
      <c r="W433" s="127"/>
      <c r="X433" s="128"/>
      <c r="Y433" s="7"/>
    </row>
    <row r="434" ht="13.55" customHeight="1">
      <c r="A434" s="79"/>
      <c r="B434" s="35"/>
      <c r="C434" s="35"/>
      <c r="D434" s="35"/>
      <c r="E434" s="35"/>
      <c r="F434" s="35"/>
      <c r="G434" s="35"/>
      <c r="H434" s="35"/>
      <c r="I434" s="35"/>
      <c r="J434" s="35"/>
      <c r="K434" s="35"/>
      <c r="L434" s="35"/>
      <c r="M434" s="35"/>
      <c r="N434" s="35"/>
      <c r="O434" s="35"/>
      <c r="P434" s="35"/>
      <c r="Q434" s="35"/>
      <c r="R434" s="35"/>
      <c r="S434" s="35"/>
      <c r="T434" s="35"/>
      <c r="U434" s="35"/>
      <c r="V434" s="126"/>
      <c r="W434" s="127"/>
      <c r="X434" s="128"/>
      <c r="Y434" s="7"/>
    </row>
    <row r="435" ht="13.55" customHeight="1">
      <c r="A435" s="79"/>
      <c r="B435" s="35"/>
      <c r="C435" s="35"/>
      <c r="D435" s="35"/>
      <c r="E435" s="35"/>
      <c r="F435" s="35"/>
      <c r="G435" s="35"/>
      <c r="H435" s="35"/>
      <c r="I435" s="35"/>
      <c r="J435" s="35"/>
      <c r="K435" s="35"/>
      <c r="L435" s="35"/>
      <c r="M435" s="35"/>
      <c r="N435" s="35"/>
      <c r="O435" s="35"/>
      <c r="P435" s="35"/>
      <c r="Q435" s="35"/>
      <c r="R435" s="35"/>
      <c r="S435" s="35"/>
      <c r="T435" s="35"/>
      <c r="U435" s="35"/>
      <c r="V435" s="126"/>
      <c r="W435" s="127"/>
      <c r="X435" s="128"/>
      <c r="Y435" s="7"/>
    </row>
    <row r="436" ht="13.55" customHeight="1">
      <c r="A436" s="79"/>
      <c r="B436" s="35"/>
      <c r="C436" s="35"/>
      <c r="D436" s="35"/>
      <c r="E436" s="35"/>
      <c r="F436" s="35"/>
      <c r="G436" s="35"/>
      <c r="H436" s="35"/>
      <c r="I436" s="35"/>
      <c r="J436" s="35"/>
      <c r="K436" s="35"/>
      <c r="L436" s="35"/>
      <c r="M436" s="35"/>
      <c r="N436" s="35"/>
      <c r="O436" s="35"/>
      <c r="P436" s="35"/>
      <c r="Q436" s="35"/>
      <c r="R436" s="35"/>
      <c r="S436" s="35"/>
      <c r="T436" s="35"/>
      <c r="U436" s="35"/>
      <c r="V436" s="126"/>
      <c r="W436" s="127"/>
      <c r="X436" s="128"/>
      <c r="Y436" s="7"/>
    </row>
    <row r="437" ht="13.55" customHeight="1">
      <c r="A437" s="79"/>
      <c r="B437" s="35"/>
      <c r="C437" s="35"/>
      <c r="D437" s="35"/>
      <c r="E437" s="35"/>
      <c r="F437" s="35"/>
      <c r="G437" s="35"/>
      <c r="H437" s="35"/>
      <c r="I437" s="35"/>
      <c r="J437" s="35"/>
      <c r="K437" s="35"/>
      <c r="L437" s="35"/>
      <c r="M437" s="35"/>
      <c r="N437" s="35"/>
      <c r="O437" s="35"/>
      <c r="P437" s="35"/>
      <c r="Q437" s="35"/>
      <c r="R437" s="35"/>
      <c r="S437" s="35"/>
      <c r="T437" s="35"/>
      <c r="U437" s="35"/>
      <c r="V437" s="126"/>
      <c r="W437" s="127"/>
      <c r="X437" s="128"/>
      <c r="Y437" s="7"/>
    </row>
    <row r="438" ht="13.55" customHeight="1">
      <c r="A438" s="79"/>
      <c r="B438" s="35"/>
      <c r="C438" s="35"/>
      <c r="D438" s="35"/>
      <c r="E438" s="35"/>
      <c r="F438" s="35"/>
      <c r="G438" s="35"/>
      <c r="H438" s="35"/>
      <c r="I438" s="35"/>
      <c r="J438" s="35"/>
      <c r="K438" s="35"/>
      <c r="L438" s="35"/>
      <c r="M438" s="35"/>
      <c r="N438" s="35"/>
      <c r="O438" s="35"/>
      <c r="P438" s="35"/>
      <c r="Q438" s="35"/>
      <c r="R438" s="35"/>
      <c r="S438" s="35"/>
      <c r="T438" s="35"/>
      <c r="U438" s="35"/>
      <c r="V438" s="126"/>
      <c r="W438" s="127"/>
      <c r="X438" s="128"/>
      <c r="Y438" s="7"/>
    </row>
    <row r="439" ht="13.55" customHeight="1">
      <c r="A439" s="79"/>
      <c r="B439" s="35"/>
      <c r="C439" s="35"/>
      <c r="D439" s="35"/>
      <c r="E439" s="35"/>
      <c r="F439" s="35"/>
      <c r="G439" s="35"/>
      <c r="H439" s="35"/>
      <c r="I439" s="35"/>
      <c r="J439" s="35"/>
      <c r="K439" s="35"/>
      <c r="L439" s="35"/>
      <c r="M439" s="35"/>
      <c r="N439" s="35"/>
      <c r="O439" s="35"/>
      <c r="P439" s="35"/>
      <c r="Q439" s="35"/>
      <c r="R439" s="35"/>
      <c r="S439" s="35"/>
      <c r="T439" s="35"/>
      <c r="U439" s="35"/>
      <c r="V439" s="126"/>
      <c r="W439" s="127"/>
      <c r="X439" s="128"/>
      <c r="Y439" s="7"/>
    </row>
    <row r="440" ht="13.55" customHeight="1">
      <c r="A440" s="79"/>
      <c r="B440" s="35"/>
      <c r="C440" s="35"/>
      <c r="D440" s="35"/>
      <c r="E440" s="35"/>
      <c r="F440" s="35"/>
      <c r="G440" s="35"/>
      <c r="H440" s="35"/>
      <c r="I440" s="35"/>
      <c r="J440" s="35"/>
      <c r="K440" s="35"/>
      <c r="L440" s="35"/>
      <c r="M440" s="35"/>
      <c r="N440" s="35"/>
      <c r="O440" s="35"/>
      <c r="P440" s="35"/>
      <c r="Q440" s="35"/>
      <c r="R440" s="35"/>
      <c r="S440" s="35"/>
      <c r="T440" s="35"/>
      <c r="U440" s="35"/>
      <c r="V440" s="126"/>
      <c r="W440" s="127"/>
      <c r="X440" s="128"/>
      <c r="Y440" s="7"/>
    </row>
    <row r="441" ht="13.55" customHeight="1">
      <c r="A441" s="79"/>
      <c r="B441" s="35"/>
      <c r="C441" s="35"/>
      <c r="D441" s="35"/>
      <c r="E441" s="35"/>
      <c r="F441" s="35"/>
      <c r="G441" s="35"/>
      <c r="H441" s="35"/>
      <c r="I441" s="35"/>
      <c r="J441" s="35"/>
      <c r="K441" s="35"/>
      <c r="L441" s="35"/>
      <c r="M441" s="35"/>
      <c r="N441" s="35"/>
      <c r="O441" s="35"/>
      <c r="P441" s="35"/>
      <c r="Q441" s="35"/>
      <c r="R441" s="35"/>
      <c r="S441" s="35"/>
      <c r="T441" s="35"/>
      <c r="U441" s="35"/>
      <c r="V441" s="126"/>
      <c r="W441" s="127"/>
      <c r="X441" s="128"/>
      <c r="Y441" s="7"/>
    </row>
    <row r="442" ht="13.55" customHeight="1">
      <c r="A442" s="79"/>
      <c r="B442" s="35"/>
      <c r="C442" s="35"/>
      <c r="D442" s="35"/>
      <c r="E442" s="35"/>
      <c r="F442" s="35"/>
      <c r="G442" s="35"/>
      <c r="H442" s="35"/>
      <c r="I442" s="35"/>
      <c r="J442" s="35"/>
      <c r="K442" s="35"/>
      <c r="L442" s="35"/>
      <c r="M442" s="35"/>
      <c r="N442" s="35"/>
      <c r="O442" s="35"/>
      <c r="P442" s="35"/>
      <c r="Q442" s="35"/>
      <c r="R442" s="35"/>
      <c r="S442" s="35"/>
      <c r="T442" s="35"/>
      <c r="U442" s="35"/>
      <c r="V442" s="126"/>
      <c r="W442" s="127"/>
      <c r="X442" s="128"/>
      <c r="Y442" s="7"/>
    </row>
    <row r="443" ht="13.55" customHeight="1">
      <c r="A443" s="79"/>
      <c r="B443" s="35"/>
      <c r="C443" s="35"/>
      <c r="D443" s="35"/>
      <c r="E443" s="35"/>
      <c r="F443" s="35"/>
      <c r="G443" s="35"/>
      <c r="H443" s="35"/>
      <c r="I443" s="35"/>
      <c r="J443" s="35"/>
      <c r="K443" s="35"/>
      <c r="L443" s="35"/>
      <c r="M443" s="35"/>
      <c r="N443" s="35"/>
      <c r="O443" s="35"/>
      <c r="P443" s="35"/>
      <c r="Q443" s="35"/>
      <c r="R443" s="35"/>
      <c r="S443" s="35"/>
      <c r="T443" s="35"/>
      <c r="U443" s="35"/>
      <c r="V443" s="126"/>
      <c r="W443" s="127"/>
      <c r="X443" s="128"/>
      <c r="Y443" s="7"/>
    </row>
    <row r="444" ht="13.55" customHeight="1">
      <c r="A444" s="79"/>
      <c r="B444" s="35"/>
      <c r="C444" s="35"/>
      <c r="D444" s="35"/>
      <c r="E444" s="35"/>
      <c r="F444" s="35"/>
      <c r="G444" s="35"/>
      <c r="H444" s="35"/>
      <c r="I444" s="35"/>
      <c r="J444" s="35"/>
      <c r="K444" s="35"/>
      <c r="L444" s="35"/>
      <c r="M444" s="35"/>
      <c r="N444" s="35"/>
      <c r="O444" s="35"/>
      <c r="P444" s="35"/>
      <c r="Q444" s="35"/>
      <c r="R444" s="35"/>
      <c r="S444" s="35"/>
      <c r="T444" s="35"/>
      <c r="U444" s="35"/>
      <c r="V444" s="126"/>
      <c r="W444" s="127"/>
      <c r="X444" s="128"/>
      <c r="Y444" s="7"/>
    </row>
    <row r="445" ht="13.55" customHeight="1">
      <c r="A445" s="79"/>
      <c r="B445" s="35"/>
      <c r="C445" s="35"/>
      <c r="D445" s="35"/>
      <c r="E445" s="35"/>
      <c r="F445" s="35"/>
      <c r="G445" s="35"/>
      <c r="H445" s="35"/>
      <c r="I445" s="35"/>
      <c r="J445" s="35"/>
      <c r="K445" s="35"/>
      <c r="L445" s="35"/>
      <c r="M445" s="35"/>
      <c r="N445" s="35"/>
      <c r="O445" s="35"/>
      <c r="P445" s="35"/>
      <c r="Q445" s="35"/>
      <c r="R445" s="35"/>
      <c r="S445" s="35"/>
      <c r="T445" s="35"/>
      <c r="U445" s="35"/>
      <c r="V445" s="126"/>
      <c r="W445" s="127"/>
      <c r="X445" s="128"/>
      <c r="Y445" s="7"/>
    </row>
    <row r="446" ht="13.55" customHeight="1">
      <c r="A446" s="79"/>
      <c r="B446" s="35"/>
      <c r="C446" s="35"/>
      <c r="D446" s="35"/>
      <c r="E446" s="35"/>
      <c r="F446" s="35"/>
      <c r="G446" s="35"/>
      <c r="H446" s="35"/>
      <c r="I446" s="35"/>
      <c r="J446" s="35"/>
      <c r="K446" s="35"/>
      <c r="L446" s="35"/>
      <c r="M446" s="35"/>
      <c r="N446" s="35"/>
      <c r="O446" s="35"/>
      <c r="P446" s="35"/>
      <c r="Q446" s="35"/>
      <c r="R446" s="35"/>
      <c r="S446" s="35"/>
      <c r="T446" s="35"/>
      <c r="U446" s="35"/>
      <c r="V446" s="126"/>
      <c r="W446" s="127"/>
      <c r="X446" s="128"/>
      <c r="Y446" s="7"/>
    </row>
    <row r="447" ht="13.55" customHeight="1">
      <c r="A447" s="79"/>
      <c r="B447" s="35"/>
      <c r="C447" s="35"/>
      <c r="D447" s="35"/>
      <c r="E447" s="35"/>
      <c r="F447" s="35"/>
      <c r="G447" s="35"/>
      <c r="H447" s="35"/>
      <c r="I447" s="35"/>
      <c r="J447" s="35"/>
      <c r="K447" s="35"/>
      <c r="L447" s="35"/>
      <c r="M447" s="35"/>
      <c r="N447" s="35"/>
      <c r="O447" s="35"/>
      <c r="P447" s="35"/>
      <c r="Q447" s="35"/>
      <c r="R447" s="35"/>
      <c r="S447" s="35"/>
      <c r="T447" s="35"/>
      <c r="U447" s="35"/>
      <c r="V447" s="126"/>
      <c r="W447" s="127"/>
      <c r="X447" s="128"/>
      <c r="Y447" s="7"/>
    </row>
    <row r="448" ht="13.55" customHeight="1">
      <c r="A448" s="79"/>
      <c r="B448" s="35"/>
      <c r="C448" s="35"/>
      <c r="D448" s="35"/>
      <c r="E448" s="35"/>
      <c r="F448" s="35"/>
      <c r="G448" s="35"/>
      <c r="H448" s="35"/>
      <c r="I448" s="35"/>
      <c r="J448" s="35"/>
      <c r="K448" s="35"/>
      <c r="L448" s="35"/>
      <c r="M448" s="35"/>
      <c r="N448" s="35"/>
      <c r="O448" s="35"/>
      <c r="P448" s="35"/>
      <c r="Q448" s="35"/>
      <c r="R448" s="35"/>
      <c r="S448" s="35"/>
      <c r="T448" s="35"/>
      <c r="U448" s="35"/>
      <c r="V448" s="126"/>
      <c r="W448" s="127"/>
      <c r="X448" s="128"/>
      <c r="Y448" s="7"/>
    </row>
    <row r="449" ht="13.55" customHeight="1">
      <c r="A449" s="79"/>
      <c r="B449" s="35"/>
      <c r="C449" s="35"/>
      <c r="D449" s="35"/>
      <c r="E449" s="35"/>
      <c r="F449" s="35"/>
      <c r="G449" s="35"/>
      <c r="H449" s="35"/>
      <c r="I449" s="35"/>
      <c r="J449" s="35"/>
      <c r="K449" s="35"/>
      <c r="L449" s="35"/>
      <c r="M449" s="35"/>
      <c r="N449" s="35"/>
      <c r="O449" s="35"/>
      <c r="P449" s="35"/>
      <c r="Q449" s="35"/>
      <c r="R449" s="35"/>
      <c r="S449" s="35"/>
      <c r="T449" s="35"/>
      <c r="U449" s="35"/>
      <c r="V449" s="126"/>
      <c r="W449" s="127"/>
      <c r="X449" s="128"/>
      <c r="Y449" s="7"/>
    </row>
    <row r="450" ht="13.55" customHeight="1">
      <c r="A450" s="79"/>
      <c r="B450" s="35"/>
      <c r="C450" s="35"/>
      <c r="D450" s="35"/>
      <c r="E450" s="35"/>
      <c r="F450" s="35"/>
      <c r="G450" s="35"/>
      <c r="H450" s="35"/>
      <c r="I450" s="35"/>
      <c r="J450" s="35"/>
      <c r="K450" s="35"/>
      <c r="L450" s="35"/>
      <c r="M450" s="35"/>
      <c r="N450" s="35"/>
      <c r="O450" s="35"/>
      <c r="P450" s="35"/>
      <c r="Q450" s="35"/>
      <c r="R450" s="35"/>
      <c r="S450" s="35"/>
      <c r="T450" s="35"/>
      <c r="U450" s="35"/>
      <c r="V450" s="126"/>
      <c r="W450" s="127"/>
      <c r="X450" s="128"/>
      <c r="Y450" s="7"/>
    </row>
    <row r="451" ht="13.55" customHeight="1">
      <c r="A451" s="79"/>
      <c r="B451" s="35"/>
      <c r="C451" s="35"/>
      <c r="D451" s="35"/>
      <c r="E451" s="35"/>
      <c r="F451" s="35"/>
      <c r="G451" s="35"/>
      <c r="H451" s="35"/>
      <c r="I451" s="35"/>
      <c r="J451" s="35"/>
      <c r="K451" s="35"/>
      <c r="L451" s="35"/>
      <c r="M451" s="35"/>
      <c r="N451" s="35"/>
      <c r="O451" s="35"/>
      <c r="P451" s="35"/>
      <c r="Q451" s="35"/>
      <c r="R451" s="35"/>
      <c r="S451" s="35"/>
      <c r="T451" s="35"/>
      <c r="U451" s="35"/>
      <c r="V451" s="126"/>
      <c r="W451" s="127"/>
      <c r="X451" s="128"/>
      <c r="Y451" s="7"/>
    </row>
    <row r="452" ht="13.55" customHeight="1">
      <c r="A452" s="79"/>
      <c r="B452" s="35"/>
      <c r="C452" s="35"/>
      <c r="D452" s="35"/>
      <c r="E452" s="35"/>
      <c r="F452" s="35"/>
      <c r="G452" s="35"/>
      <c r="H452" s="35"/>
      <c r="I452" s="35"/>
      <c r="J452" s="35"/>
      <c r="K452" s="35"/>
      <c r="L452" s="35"/>
      <c r="M452" s="35"/>
      <c r="N452" s="35"/>
      <c r="O452" s="35"/>
      <c r="P452" s="35"/>
      <c r="Q452" s="35"/>
      <c r="R452" s="35"/>
      <c r="S452" s="35"/>
      <c r="T452" s="35"/>
      <c r="U452" s="35"/>
      <c r="V452" s="126"/>
      <c r="W452" s="127"/>
      <c r="X452" s="128"/>
      <c r="Y452" s="7"/>
    </row>
    <row r="453" ht="13.55" customHeight="1">
      <c r="A453" s="79"/>
      <c r="B453" s="35"/>
      <c r="C453" s="35"/>
      <c r="D453" s="35"/>
      <c r="E453" s="35"/>
      <c r="F453" s="35"/>
      <c r="G453" s="35"/>
      <c r="H453" s="35"/>
      <c r="I453" s="35"/>
      <c r="J453" s="35"/>
      <c r="K453" s="35"/>
      <c r="L453" s="35"/>
      <c r="M453" s="35"/>
      <c r="N453" s="35"/>
      <c r="O453" s="35"/>
      <c r="P453" s="35"/>
      <c r="Q453" s="35"/>
      <c r="R453" s="35"/>
      <c r="S453" s="35"/>
      <c r="T453" s="35"/>
      <c r="U453" s="35"/>
      <c r="V453" s="126"/>
      <c r="W453" s="127"/>
      <c r="X453" s="128"/>
      <c r="Y453" s="7"/>
    </row>
    <row r="454" ht="13.55" customHeight="1">
      <c r="A454" s="79"/>
      <c r="B454" s="35"/>
      <c r="C454" s="35"/>
      <c r="D454" s="35"/>
      <c r="E454" s="35"/>
      <c r="F454" s="35"/>
      <c r="G454" s="35"/>
      <c r="H454" s="35"/>
      <c r="I454" s="35"/>
      <c r="J454" s="35"/>
      <c r="K454" s="35"/>
      <c r="L454" s="35"/>
      <c r="M454" s="35"/>
      <c r="N454" s="35"/>
      <c r="O454" s="35"/>
      <c r="P454" s="35"/>
      <c r="Q454" s="35"/>
      <c r="R454" s="35"/>
      <c r="S454" s="35"/>
      <c r="T454" s="35"/>
      <c r="U454" s="35"/>
      <c r="V454" s="126"/>
      <c r="W454" s="127"/>
      <c r="X454" s="128"/>
      <c r="Y454" s="7"/>
    </row>
    <row r="455" ht="13.55" customHeight="1">
      <c r="A455" s="79"/>
      <c r="B455" s="35"/>
      <c r="C455" s="35"/>
      <c r="D455" s="35"/>
      <c r="E455" s="35"/>
      <c r="F455" s="35"/>
      <c r="G455" s="35"/>
      <c r="H455" s="35"/>
      <c r="I455" s="35"/>
      <c r="J455" s="35"/>
      <c r="K455" s="35"/>
      <c r="L455" s="35"/>
      <c r="M455" s="35"/>
      <c r="N455" s="35"/>
      <c r="O455" s="35"/>
      <c r="P455" s="35"/>
      <c r="Q455" s="35"/>
      <c r="R455" s="35"/>
      <c r="S455" s="35"/>
      <c r="T455" s="35"/>
      <c r="U455" s="35"/>
      <c r="V455" s="126"/>
      <c r="W455" s="127"/>
      <c r="X455" s="128"/>
      <c r="Y455" s="7"/>
    </row>
    <row r="456" ht="13.55" customHeight="1">
      <c r="A456" s="79"/>
      <c r="B456" s="35"/>
      <c r="C456" s="35"/>
      <c r="D456" s="35"/>
      <c r="E456" s="35"/>
      <c r="F456" s="35"/>
      <c r="G456" s="35"/>
      <c r="H456" s="35"/>
      <c r="I456" s="35"/>
      <c r="J456" s="35"/>
      <c r="K456" s="35"/>
      <c r="L456" s="35"/>
      <c r="M456" s="35"/>
      <c r="N456" s="35"/>
      <c r="O456" s="35"/>
      <c r="P456" s="35"/>
      <c r="Q456" s="35"/>
      <c r="R456" s="35"/>
      <c r="S456" s="35"/>
      <c r="T456" s="35"/>
      <c r="U456" s="35"/>
      <c r="V456" s="126"/>
      <c r="W456" s="127"/>
      <c r="X456" s="128"/>
      <c r="Y456" s="7"/>
    </row>
    <row r="457" ht="13.55" customHeight="1">
      <c r="A457" s="79"/>
      <c r="B457" s="35"/>
      <c r="C457" s="35"/>
      <c r="D457" s="35"/>
      <c r="E457" s="35"/>
      <c r="F457" s="35"/>
      <c r="G457" s="35"/>
      <c r="H457" s="35"/>
      <c r="I457" s="35"/>
      <c r="J457" s="35"/>
      <c r="K457" s="35"/>
      <c r="L457" s="35"/>
      <c r="M457" s="35"/>
      <c r="N457" s="35"/>
      <c r="O457" s="35"/>
      <c r="P457" s="35"/>
      <c r="Q457" s="35"/>
      <c r="R457" s="35"/>
      <c r="S457" s="35"/>
      <c r="T457" s="35"/>
      <c r="U457" s="35"/>
      <c r="V457" s="126"/>
      <c r="W457" s="127"/>
      <c r="X457" s="128"/>
      <c r="Y457" s="7"/>
    </row>
    <row r="458" ht="13.55" customHeight="1">
      <c r="A458" s="79"/>
      <c r="B458" s="35"/>
      <c r="C458" s="35"/>
      <c r="D458" s="35"/>
      <c r="E458" s="35"/>
      <c r="F458" s="35"/>
      <c r="G458" s="35"/>
      <c r="H458" s="35"/>
      <c r="I458" s="35"/>
      <c r="J458" s="35"/>
      <c r="K458" s="35"/>
      <c r="L458" s="35"/>
      <c r="M458" s="35"/>
      <c r="N458" s="35"/>
      <c r="O458" s="35"/>
      <c r="P458" s="35"/>
      <c r="Q458" s="35"/>
      <c r="R458" s="35"/>
      <c r="S458" s="35"/>
      <c r="T458" s="35"/>
      <c r="U458" s="35"/>
      <c r="V458" s="126"/>
      <c r="W458" s="127"/>
      <c r="X458" s="128"/>
      <c r="Y458" s="7"/>
    </row>
    <row r="459" ht="13.55" customHeight="1">
      <c r="A459" s="79"/>
      <c r="B459" s="35"/>
      <c r="C459" s="35"/>
      <c r="D459" s="35"/>
      <c r="E459" s="35"/>
      <c r="F459" s="35"/>
      <c r="G459" s="35"/>
      <c r="H459" s="35"/>
      <c r="I459" s="35"/>
      <c r="J459" s="35"/>
      <c r="K459" s="35"/>
      <c r="L459" s="35"/>
      <c r="M459" s="35"/>
      <c r="N459" s="35"/>
      <c r="O459" s="35"/>
      <c r="P459" s="35"/>
      <c r="Q459" s="35"/>
      <c r="R459" s="35"/>
      <c r="S459" s="35"/>
      <c r="T459" s="35"/>
      <c r="U459" s="35"/>
      <c r="V459" s="126"/>
      <c r="W459" s="127"/>
      <c r="X459" s="128"/>
      <c r="Y459" s="7"/>
    </row>
    <row r="460" ht="13.55" customHeight="1">
      <c r="A460" s="79"/>
      <c r="B460" s="35"/>
      <c r="C460" s="35"/>
      <c r="D460" s="35"/>
      <c r="E460" s="35"/>
      <c r="F460" s="35"/>
      <c r="G460" s="35"/>
      <c r="H460" s="35"/>
      <c r="I460" s="35"/>
      <c r="J460" s="35"/>
      <c r="K460" s="35"/>
      <c r="L460" s="35"/>
      <c r="M460" s="35"/>
      <c r="N460" s="35"/>
      <c r="O460" s="35"/>
      <c r="P460" s="35"/>
      <c r="Q460" s="35"/>
      <c r="R460" s="35"/>
      <c r="S460" s="35"/>
      <c r="T460" s="35"/>
      <c r="U460" s="35"/>
      <c r="V460" s="126"/>
      <c r="W460" s="127"/>
      <c r="X460" s="128"/>
      <c r="Y460" s="7"/>
    </row>
    <row r="461" ht="13.55" customHeight="1">
      <c r="A461" s="79"/>
      <c r="B461" s="35"/>
      <c r="C461" s="35"/>
      <c r="D461" s="35"/>
      <c r="E461" s="35"/>
      <c r="F461" s="35"/>
      <c r="G461" s="35"/>
      <c r="H461" s="35"/>
      <c r="I461" s="35"/>
      <c r="J461" s="35"/>
      <c r="K461" s="35"/>
      <c r="L461" s="35"/>
      <c r="M461" s="35"/>
      <c r="N461" s="35"/>
      <c r="O461" s="35"/>
      <c r="P461" s="35"/>
      <c r="Q461" s="35"/>
      <c r="R461" s="35"/>
      <c r="S461" s="35"/>
      <c r="T461" s="35"/>
      <c r="U461" s="35"/>
      <c r="V461" s="126"/>
      <c r="W461" s="127"/>
      <c r="X461" s="128"/>
      <c r="Y461" s="7"/>
    </row>
    <row r="462" ht="13.55" customHeight="1">
      <c r="A462" s="79"/>
      <c r="B462" s="35"/>
      <c r="C462" s="35"/>
      <c r="D462" s="35"/>
      <c r="E462" s="35"/>
      <c r="F462" s="35"/>
      <c r="G462" s="35"/>
      <c r="H462" s="35"/>
      <c r="I462" s="35"/>
      <c r="J462" s="35"/>
      <c r="K462" s="35"/>
      <c r="L462" s="35"/>
      <c r="M462" s="35"/>
      <c r="N462" s="35"/>
      <c r="O462" s="35"/>
      <c r="P462" s="35"/>
      <c r="Q462" s="35"/>
      <c r="R462" s="35"/>
      <c r="S462" s="35"/>
      <c r="T462" s="35"/>
      <c r="U462" s="35"/>
      <c r="V462" s="126"/>
      <c r="W462" s="127"/>
      <c r="X462" s="128"/>
      <c r="Y462" s="7"/>
    </row>
    <row r="463" ht="13.55" customHeight="1">
      <c r="A463" s="79"/>
      <c r="B463" s="35"/>
      <c r="C463" s="35"/>
      <c r="D463" s="35"/>
      <c r="E463" s="35"/>
      <c r="F463" s="35"/>
      <c r="G463" s="35"/>
      <c r="H463" s="35"/>
      <c r="I463" s="35"/>
      <c r="J463" s="35"/>
      <c r="K463" s="35"/>
      <c r="L463" s="35"/>
      <c r="M463" s="35"/>
      <c r="N463" s="35"/>
      <c r="O463" s="35"/>
      <c r="P463" s="35"/>
      <c r="Q463" s="35"/>
      <c r="R463" s="35"/>
      <c r="S463" s="35"/>
      <c r="T463" s="35"/>
      <c r="U463" s="35"/>
      <c r="V463" s="126"/>
      <c r="W463" s="127"/>
      <c r="X463" s="128"/>
      <c r="Y463" s="7"/>
    </row>
    <row r="464" ht="13.55" customHeight="1">
      <c r="A464" s="79"/>
      <c r="B464" s="35"/>
      <c r="C464" s="35"/>
      <c r="D464" s="35"/>
      <c r="E464" s="35"/>
      <c r="F464" s="35"/>
      <c r="G464" s="35"/>
      <c r="H464" s="35"/>
      <c r="I464" s="35"/>
      <c r="J464" s="35"/>
      <c r="K464" s="35"/>
      <c r="L464" s="35"/>
      <c r="M464" s="35"/>
      <c r="N464" s="35"/>
      <c r="O464" s="35"/>
      <c r="P464" s="35"/>
      <c r="Q464" s="35"/>
      <c r="R464" s="35"/>
      <c r="S464" s="35"/>
      <c r="T464" s="35"/>
      <c r="U464" s="35"/>
      <c r="V464" s="126"/>
      <c r="W464" s="127"/>
      <c r="X464" s="128"/>
      <c r="Y464" s="7"/>
    </row>
    <row r="465" ht="13.55" customHeight="1">
      <c r="A465" s="79"/>
      <c r="B465" s="35"/>
      <c r="C465" s="35"/>
      <c r="D465" s="35"/>
      <c r="E465" s="35"/>
      <c r="F465" s="35"/>
      <c r="G465" s="35"/>
      <c r="H465" s="35"/>
      <c r="I465" s="35"/>
      <c r="J465" s="35"/>
      <c r="K465" s="35"/>
      <c r="L465" s="35"/>
      <c r="M465" s="35"/>
      <c r="N465" s="35"/>
      <c r="O465" s="35"/>
      <c r="P465" s="35"/>
      <c r="Q465" s="35"/>
      <c r="R465" s="35"/>
      <c r="S465" s="35"/>
      <c r="T465" s="35"/>
      <c r="U465" s="35"/>
      <c r="V465" s="126"/>
      <c r="W465" s="127"/>
      <c r="X465" s="128"/>
      <c r="Y465" s="7"/>
    </row>
    <row r="466" ht="13.55" customHeight="1">
      <c r="A466" s="79"/>
      <c r="B466" s="35"/>
      <c r="C466" s="35"/>
      <c r="D466" s="35"/>
      <c r="E466" s="35"/>
      <c r="F466" s="35"/>
      <c r="G466" s="35"/>
      <c r="H466" s="35"/>
      <c r="I466" s="35"/>
      <c r="J466" s="35"/>
      <c r="K466" s="35"/>
      <c r="L466" s="35"/>
      <c r="M466" s="35"/>
      <c r="N466" s="35"/>
      <c r="O466" s="35"/>
      <c r="P466" s="35"/>
      <c r="Q466" s="35"/>
      <c r="R466" s="35"/>
      <c r="S466" s="35"/>
      <c r="T466" s="35"/>
      <c r="U466" s="35"/>
      <c r="V466" s="126"/>
      <c r="W466" s="127"/>
      <c r="X466" s="128"/>
      <c r="Y466" s="7"/>
    </row>
    <row r="467" ht="13.55" customHeight="1">
      <c r="A467" s="79"/>
      <c r="B467" s="35"/>
      <c r="C467" s="35"/>
      <c r="D467" s="35"/>
      <c r="E467" s="35"/>
      <c r="F467" s="35"/>
      <c r="G467" s="35"/>
      <c r="H467" s="35"/>
      <c r="I467" s="35"/>
      <c r="J467" s="35"/>
      <c r="K467" s="35"/>
      <c r="L467" s="35"/>
      <c r="M467" s="35"/>
      <c r="N467" s="35"/>
      <c r="O467" s="35"/>
      <c r="P467" s="35"/>
      <c r="Q467" s="35"/>
      <c r="R467" s="35"/>
      <c r="S467" s="35"/>
      <c r="T467" s="35"/>
      <c r="U467" s="35"/>
      <c r="V467" s="126"/>
      <c r="W467" s="127"/>
      <c r="X467" s="128"/>
      <c r="Y467" s="7"/>
    </row>
    <row r="468" ht="13.55" customHeight="1">
      <c r="A468" s="79"/>
      <c r="B468" s="35"/>
      <c r="C468" s="35"/>
      <c r="D468" s="35"/>
      <c r="E468" s="35"/>
      <c r="F468" s="35"/>
      <c r="G468" s="35"/>
      <c r="H468" s="35"/>
      <c r="I468" s="35"/>
      <c r="J468" s="35"/>
      <c r="K468" s="35"/>
      <c r="L468" s="35"/>
      <c r="M468" s="35"/>
      <c r="N468" s="35"/>
      <c r="O468" s="35"/>
      <c r="P468" s="35"/>
      <c r="Q468" s="35"/>
      <c r="R468" s="35"/>
      <c r="S468" s="35"/>
      <c r="T468" s="35"/>
      <c r="U468" s="35"/>
      <c r="V468" s="126"/>
      <c r="W468" s="127"/>
      <c r="X468" s="128"/>
      <c r="Y468" s="7"/>
    </row>
    <row r="469" ht="13.55" customHeight="1">
      <c r="A469" s="79"/>
      <c r="B469" s="35"/>
      <c r="C469" s="35"/>
      <c r="D469" s="35"/>
      <c r="E469" s="35"/>
      <c r="F469" s="35"/>
      <c r="G469" s="35"/>
      <c r="H469" s="35"/>
      <c r="I469" s="35"/>
      <c r="J469" s="35"/>
      <c r="K469" s="35"/>
      <c r="L469" s="35"/>
      <c r="M469" s="35"/>
      <c r="N469" s="35"/>
      <c r="O469" s="35"/>
      <c r="P469" s="35"/>
      <c r="Q469" s="35"/>
      <c r="R469" s="35"/>
      <c r="S469" s="35"/>
      <c r="T469" s="35"/>
      <c r="U469" s="35"/>
      <c r="V469" s="126"/>
      <c r="W469" s="127"/>
      <c r="X469" s="128"/>
      <c r="Y469" s="7"/>
    </row>
    <row r="470" ht="13.55" customHeight="1">
      <c r="A470" s="79"/>
      <c r="B470" s="35"/>
      <c r="C470" s="35"/>
      <c r="D470" s="35"/>
      <c r="E470" s="35"/>
      <c r="F470" s="35"/>
      <c r="G470" s="35"/>
      <c r="H470" s="35"/>
      <c r="I470" s="35"/>
      <c r="J470" s="35"/>
      <c r="K470" s="35"/>
      <c r="L470" s="35"/>
      <c r="M470" s="35"/>
      <c r="N470" s="35"/>
      <c r="O470" s="35"/>
      <c r="P470" s="35"/>
      <c r="Q470" s="35"/>
      <c r="R470" s="35"/>
      <c r="S470" s="35"/>
      <c r="T470" s="35"/>
      <c r="U470" s="35"/>
      <c r="V470" s="126"/>
      <c r="W470" s="127"/>
      <c r="X470" s="128"/>
      <c r="Y470" s="7"/>
    </row>
    <row r="471" ht="13.55" customHeight="1">
      <c r="A471" s="79"/>
      <c r="B471" s="35"/>
      <c r="C471" s="35"/>
      <c r="D471" s="35"/>
      <c r="E471" s="35"/>
      <c r="F471" s="35"/>
      <c r="G471" s="35"/>
      <c r="H471" s="35"/>
      <c r="I471" s="35"/>
      <c r="J471" s="35"/>
      <c r="K471" s="35"/>
      <c r="L471" s="35"/>
      <c r="M471" s="35"/>
      <c r="N471" s="35"/>
      <c r="O471" s="35"/>
      <c r="P471" s="35"/>
      <c r="Q471" s="35"/>
      <c r="R471" s="35"/>
      <c r="S471" s="35"/>
      <c r="T471" s="35"/>
      <c r="U471" s="35"/>
      <c r="V471" s="126"/>
      <c r="W471" s="127"/>
      <c r="X471" s="128"/>
      <c r="Y471" s="7"/>
    </row>
    <row r="472" ht="13.55" customHeight="1">
      <c r="A472" s="79"/>
      <c r="B472" s="35"/>
      <c r="C472" s="35"/>
      <c r="D472" s="35"/>
      <c r="E472" s="35"/>
      <c r="F472" s="35"/>
      <c r="G472" s="35"/>
      <c r="H472" s="35"/>
      <c r="I472" s="35"/>
      <c r="J472" s="35"/>
      <c r="K472" s="35"/>
      <c r="L472" s="35"/>
      <c r="M472" s="35"/>
      <c r="N472" s="35"/>
      <c r="O472" s="35"/>
      <c r="P472" s="35"/>
      <c r="Q472" s="35"/>
      <c r="R472" s="35"/>
      <c r="S472" s="35"/>
      <c r="T472" s="35"/>
      <c r="U472" s="35"/>
      <c r="V472" s="126"/>
      <c r="W472" s="127"/>
      <c r="X472" s="128"/>
      <c r="Y472" s="7"/>
    </row>
    <row r="473" ht="13.55" customHeight="1">
      <c r="A473" s="79"/>
      <c r="B473" s="35"/>
      <c r="C473" s="35"/>
      <c r="D473" s="35"/>
      <c r="E473" s="35"/>
      <c r="F473" s="35"/>
      <c r="G473" s="35"/>
      <c r="H473" s="35"/>
      <c r="I473" s="35"/>
      <c r="J473" s="35"/>
      <c r="K473" s="35"/>
      <c r="L473" s="35"/>
      <c r="M473" s="35"/>
      <c r="N473" s="35"/>
      <c r="O473" s="35"/>
      <c r="P473" s="35"/>
      <c r="Q473" s="35"/>
      <c r="R473" s="35"/>
      <c r="S473" s="35"/>
      <c r="T473" s="35"/>
      <c r="U473" s="35"/>
      <c r="V473" s="126"/>
      <c r="W473" s="127"/>
      <c r="X473" s="128"/>
      <c r="Y473" s="7"/>
    </row>
    <row r="474" ht="13.55" customHeight="1">
      <c r="A474" s="79"/>
      <c r="B474" s="35"/>
      <c r="C474" s="35"/>
      <c r="D474" s="35"/>
      <c r="E474" s="35"/>
      <c r="F474" s="35"/>
      <c r="G474" s="35"/>
      <c r="H474" s="35"/>
      <c r="I474" s="35"/>
      <c r="J474" s="35"/>
      <c r="K474" s="35"/>
      <c r="L474" s="35"/>
      <c r="M474" s="35"/>
      <c r="N474" s="35"/>
      <c r="O474" s="35"/>
      <c r="P474" s="35"/>
      <c r="Q474" s="35"/>
      <c r="R474" s="35"/>
      <c r="S474" s="35"/>
      <c r="T474" s="35"/>
      <c r="U474" s="35"/>
      <c r="V474" s="126"/>
      <c r="W474" s="127"/>
      <c r="X474" s="128"/>
      <c r="Y474" s="7"/>
    </row>
    <row r="475" ht="13.55" customHeight="1">
      <c r="A475" s="79"/>
      <c r="B475" s="35"/>
      <c r="C475" s="35"/>
      <c r="D475" s="35"/>
      <c r="E475" s="35"/>
      <c r="F475" s="35"/>
      <c r="G475" s="35"/>
      <c r="H475" s="35"/>
      <c r="I475" s="35"/>
      <c r="J475" s="35"/>
      <c r="K475" s="35"/>
      <c r="L475" s="35"/>
      <c r="M475" s="35"/>
      <c r="N475" s="35"/>
      <c r="O475" s="35"/>
      <c r="P475" s="35"/>
      <c r="Q475" s="35"/>
      <c r="R475" s="35"/>
      <c r="S475" s="35"/>
      <c r="T475" s="35"/>
      <c r="U475" s="35"/>
      <c r="V475" s="126"/>
      <c r="W475" s="127"/>
      <c r="X475" s="128"/>
      <c r="Y475" s="7"/>
    </row>
    <row r="476" ht="13.55" customHeight="1">
      <c r="A476" s="79"/>
      <c r="B476" s="35"/>
      <c r="C476" s="35"/>
      <c r="D476" s="35"/>
      <c r="E476" s="35"/>
      <c r="F476" s="35"/>
      <c r="G476" s="35"/>
      <c r="H476" s="35"/>
      <c r="I476" s="35"/>
      <c r="J476" s="35"/>
      <c r="K476" s="35"/>
      <c r="L476" s="35"/>
      <c r="M476" s="35"/>
      <c r="N476" s="35"/>
      <c r="O476" s="35"/>
      <c r="P476" s="35"/>
      <c r="Q476" s="35"/>
      <c r="R476" s="35"/>
      <c r="S476" s="35"/>
      <c r="T476" s="35"/>
      <c r="U476" s="35"/>
      <c r="V476" s="126"/>
      <c r="W476" s="127"/>
      <c r="X476" s="128"/>
      <c r="Y476" s="7"/>
    </row>
    <row r="477" ht="13.55" customHeight="1">
      <c r="A477" s="79"/>
      <c r="B477" s="35"/>
      <c r="C477" s="35"/>
      <c r="D477" s="35"/>
      <c r="E477" s="35"/>
      <c r="F477" s="35"/>
      <c r="G477" s="35"/>
      <c r="H477" s="35"/>
      <c r="I477" s="35"/>
      <c r="J477" s="35"/>
      <c r="K477" s="35"/>
      <c r="L477" s="35"/>
      <c r="M477" s="35"/>
      <c r="N477" s="35"/>
      <c r="O477" s="35"/>
      <c r="P477" s="35"/>
      <c r="Q477" s="35"/>
      <c r="R477" s="35"/>
      <c r="S477" s="35"/>
      <c r="T477" s="35"/>
      <c r="U477" s="35"/>
      <c r="V477" s="126"/>
      <c r="W477" s="127"/>
      <c r="X477" s="128"/>
      <c r="Y477" s="7"/>
    </row>
    <row r="478" ht="13.55" customHeight="1">
      <c r="A478" s="79"/>
      <c r="B478" s="35"/>
      <c r="C478" s="35"/>
      <c r="D478" s="35"/>
      <c r="E478" s="35"/>
      <c r="F478" s="35"/>
      <c r="G478" s="35"/>
      <c r="H478" s="35"/>
      <c r="I478" s="35"/>
      <c r="J478" s="35"/>
      <c r="K478" s="35"/>
      <c r="L478" s="35"/>
      <c r="M478" s="35"/>
      <c r="N478" s="35"/>
      <c r="O478" s="35"/>
      <c r="P478" s="35"/>
      <c r="Q478" s="35"/>
      <c r="R478" s="35"/>
      <c r="S478" s="35"/>
      <c r="T478" s="35"/>
      <c r="U478" s="35"/>
      <c r="V478" s="126"/>
      <c r="W478" s="127"/>
      <c r="X478" s="128"/>
      <c r="Y478" s="7"/>
    </row>
    <row r="479" ht="13.55" customHeight="1">
      <c r="A479" s="79"/>
      <c r="B479" s="35"/>
      <c r="C479" s="35"/>
      <c r="D479" s="35"/>
      <c r="E479" s="35"/>
      <c r="F479" s="35"/>
      <c r="G479" s="35"/>
      <c r="H479" s="35"/>
      <c r="I479" s="35"/>
      <c r="J479" s="35"/>
      <c r="K479" s="35"/>
      <c r="L479" s="35"/>
      <c r="M479" s="35"/>
      <c r="N479" s="35"/>
      <c r="O479" s="35"/>
      <c r="P479" s="35"/>
      <c r="Q479" s="35"/>
      <c r="R479" s="35"/>
      <c r="S479" s="35"/>
      <c r="T479" s="35"/>
      <c r="U479" s="35"/>
      <c r="V479" s="126"/>
      <c r="W479" s="127"/>
      <c r="X479" s="128"/>
      <c r="Y479" s="7"/>
    </row>
    <row r="480" ht="13.55" customHeight="1">
      <c r="A480" s="79"/>
      <c r="B480" s="35"/>
      <c r="C480" s="35"/>
      <c r="D480" s="35"/>
      <c r="E480" s="35"/>
      <c r="F480" s="35"/>
      <c r="G480" s="35"/>
      <c r="H480" s="35"/>
      <c r="I480" s="35"/>
      <c r="J480" s="35"/>
      <c r="K480" s="35"/>
      <c r="L480" s="35"/>
      <c r="M480" s="35"/>
      <c r="N480" s="35"/>
      <c r="O480" s="35"/>
      <c r="P480" s="35"/>
      <c r="Q480" s="35"/>
      <c r="R480" s="35"/>
      <c r="S480" s="35"/>
      <c r="T480" s="35"/>
      <c r="U480" s="35"/>
      <c r="V480" s="126"/>
      <c r="W480" s="127"/>
      <c r="X480" s="128"/>
      <c r="Y480" s="7"/>
    </row>
    <row r="481" ht="13.55" customHeight="1">
      <c r="A481" s="79"/>
      <c r="B481" s="35"/>
      <c r="C481" s="35"/>
      <c r="D481" s="35"/>
      <c r="E481" s="35"/>
      <c r="F481" s="35"/>
      <c r="G481" s="35"/>
      <c r="H481" s="35"/>
      <c r="I481" s="35"/>
      <c r="J481" s="35"/>
      <c r="K481" s="35"/>
      <c r="L481" s="35"/>
      <c r="M481" s="35"/>
      <c r="N481" s="35"/>
      <c r="O481" s="35"/>
      <c r="P481" s="35"/>
      <c r="Q481" s="35"/>
      <c r="R481" s="35"/>
      <c r="S481" s="35"/>
      <c r="T481" s="35"/>
      <c r="U481" s="35"/>
      <c r="V481" s="126"/>
      <c r="W481" s="127"/>
      <c r="X481" s="128"/>
      <c r="Y481" s="7"/>
    </row>
    <row r="482" ht="13.55" customHeight="1">
      <c r="A482" s="79"/>
      <c r="B482" s="35"/>
      <c r="C482" s="35"/>
      <c r="D482" s="35"/>
      <c r="E482" s="35"/>
      <c r="F482" s="35"/>
      <c r="G482" s="35"/>
      <c r="H482" s="35"/>
      <c r="I482" s="35"/>
      <c r="J482" s="35"/>
      <c r="K482" s="35"/>
      <c r="L482" s="35"/>
      <c r="M482" s="35"/>
      <c r="N482" s="35"/>
      <c r="O482" s="35"/>
      <c r="P482" s="35"/>
      <c r="Q482" s="35"/>
      <c r="R482" s="35"/>
      <c r="S482" s="35"/>
      <c r="T482" s="35"/>
      <c r="U482" s="35"/>
      <c r="V482" s="126"/>
      <c r="W482" s="127"/>
      <c r="X482" s="128"/>
      <c r="Y482" s="7"/>
    </row>
    <row r="483" ht="13.55" customHeight="1">
      <c r="A483" s="79"/>
      <c r="B483" s="35"/>
      <c r="C483" s="35"/>
      <c r="D483" s="35"/>
      <c r="E483" s="35"/>
      <c r="F483" s="35"/>
      <c r="G483" s="35"/>
      <c r="H483" s="35"/>
      <c r="I483" s="35"/>
      <c r="J483" s="35"/>
      <c r="K483" s="35"/>
      <c r="L483" s="35"/>
      <c r="M483" s="35"/>
      <c r="N483" s="35"/>
      <c r="O483" s="35"/>
      <c r="P483" s="35"/>
      <c r="Q483" s="35"/>
      <c r="R483" s="35"/>
      <c r="S483" s="35"/>
      <c r="T483" s="35"/>
      <c r="U483" s="35"/>
      <c r="V483" s="126"/>
      <c r="W483" s="127"/>
      <c r="X483" s="128"/>
      <c r="Y483" s="7"/>
    </row>
    <row r="484" ht="13.55" customHeight="1">
      <c r="A484" s="79"/>
      <c r="B484" s="35"/>
      <c r="C484" s="35"/>
      <c r="D484" s="35"/>
      <c r="E484" s="35"/>
      <c r="F484" s="35"/>
      <c r="G484" s="35"/>
      <c r="H484" s="35"/>
      <c r="I484" s="35"/>
      <c r="J484" s="35"/>
      <c r="K484" s="35"/>
      <c r="L484" s="35"/>
      <c r="M484" s="35"/>
      <c r="N484" s="35"/>
      <c r="O484" s="35"/>
      <c r="P484" s="35"/>
      <c r="Q484" s="35"/>
      <c r="R484" s="35"/>
      <c r="S484" s="35"/>
      <c r="T484" s="35"/>
      <c r="U484" s="35"/>
      <c r="V484" s="126"/>
      <c r="W484" s="127"/>
      <c r="X484" s="128"/>
      <c r="Y484" s="7"/>
    </row>
    <row r="485" ht="13.55" customHeight="1">
      <c r="A485" s="79"/>
      <c r="B485" s="35"/>
      <c r="C485" s="35"/>
      <c r="D485" s="35"/>
      <c r="E485" s="35"/>
      <c r="F485" s="35"/>
      <c r="G485" s="35"/>
      <c r="H485" s="35"/>
      <c r="I485" s="35"/>
      <c r="J485" s="35"/>
      <c r="K485" s="35"/>
      <c r="L485" s="35"/>
      <c r="M485" s="35"/>
      <c r="N485" s="35"/>
      <c r="O485" s="35"/>
      <c r="P485" s="35"/>
      <c r="Q485" s="35"/>
      <c r="R485" s="35"/>
      <c r="S485" s="35"/>
      <c r="T485" s="35"/>
      <c r="U485" s="35"/>
      <c r="V485" s="126"/>
      <c r="W485" s="127"/>
      <c r="X485" s="128"/>
      <c r="Y485" s="7"/>
    </row>
    <row r="486" ht="13.55" customHeight="1">
      <c r="A486" s="79"/>
      <c r="B486" s="35"/>
      <c r="C486" s="35"/>
      <c r="D486" s="35"/>
      <c r="E486" s="35"/>
      <c r="F486" s="35"/>
      <c r="G486" s="35"/>
      <c r="H486" s="35"/>
      <c r="I486" s="35"/>
      <c r="J486" s="35"/>
      <c r="K486" s="35"/>
      <c r="L486" s="35"/>
      <c r="M486" s="35"/>
      <c r="N486" s="35"/>
      <c r="O486" s="35"/>
      <c r="P486" s="35"/>
      <c r="Q486" s="35"/>
      <c r="R486" s="35"/>
      <c r="S486" s="35"/>
      <c r="T486" s="35"/>
      <c r="U486" s="35"/>
      <c r="V486" s="126"/>
      <c r="W486" s="127"/>
      <c r="X486" s="128"/>
      <c r="Y486" s="7"/>
    </row>
    <row r="487" ht="13.55" customHeight="1">
      <c r="A487" s="79"/>
      <c r="B487" s="35"/>
      <c r="C487" s="35"/>
      <c r="D487" s="35"/>
      <c r="E487" s="35"/>
      <c r="F487" s="35"/>
      <c r="G487" s="35"/>
      <c r="H487" s="35"/>
      <c r="I487" s="35"/>
      <c r="J487" s="35"/>
      <c r="K487" s="35"/>
      <c r="L487" s="35"/>
      <c r="M487" s="35"/>
      <c r="N487" s="35"/>
      <c r="O487" s="35"/>
      <c r="P487" s="35"/>
      <c r="Q487" s="35"/>
      <c r="R487" s="35"/>
      <c r="S487" s="35"/>
      <c r="T487" s="35"/>
      <c r="U487" s="35"/>
      <c r="V487" s="126"/>
      <c r="W487" s="127"/>
      <c r="X487" s="128"/>
      <c r="Y487" s="7"/>
    </row>
    <row r="488" ht="13.55" customHeight="1">
      <c r="A488" s="79"/>
      <c r="B488" s="35"/>
      <c r="C488" s="35"/>
      <c r="D488" s="35"/>
      <c r="E488" s="35"/>
      <c r="F488" s="35"/>
      <c r="G488" s="35"/>
      <c r="H488" s="35"/>
      <c r="I488" s="35"/>
      <c r="J488" s="35"/>
      <c r="K488" s="35"/>
      <c r="L488" s="35"/>
      <c r="M488" s="35"/>
      <c r="N488" s="35"/>
      <c r="O488" s="35"/>
      <c r="P488" s="35"/>
      <c r="Q488" s="35"/>
      <c r="R488" s="35"/>
      <c r="S488" s="35"/>
      <c r="T488" s="35"/>
      <c r="U488" s="35"/>
      <c r="V488" s="126"/>
      <c r="W488" s="127"/>
      <c r="X488" s="128"/>
      <c r="Y488" s="7"/>
    </row>
    <row r="489" ht="13.55" customHeight="1">
      <c r="A489" s="79"/>
      <c r="B489" s="35"/>
      <c r="C489" s="35"/>
      <c r="D489" s="35"/>
      <c r="E489" s="35"/>
      <c r="F489" s="35"/>
      <c r="G489" s="35"/>
      <c r="H489" s="35"/>
      <c r="I489" s="35"/>
      <c r="J489" s="35"/>
      <c r="K489" s="35"/>
      <c r="L489" s="35"/>
      <c r="M489" s="35"/>
      <c r="N489" s="35"/>
      <c r="O489" s="35"/>
      <c r="P489" s="35"/>
      <c r="Q489" s="35"/>
      <c r="R489" s="35"/>
      <c r="S489" s="35"/>
      <c r="T489" s="35"/>
      <c r="U489" s="35"/>
      <c r="V489" s="126"/>
      <c r="W489" s="127"/>
      <c r="X489" s="128"/>
      <c r="Y489" s="7"/>
    </row>
    <row r="490" ht="13.55" customHeight="1">
      <c r="A490" s="79"/>
      <c r="B490" s="35"/>
      <c r="C490" s="35"/>
      <c r="D490" s="35"/>
      <c r="E490" s="35"/>
      <c r="F490" s="35"/>
      <c r="G490" s="35"/>
      <c r="H490" s="35"/>
      <c r="I490" s="35"/>
      <c r="J490" s="35"/>
      <c r="K490" s="35"/>
      <c r="L490" s="35"/>
      <c r="M490" s="35"/>
      <c r="N490" s="35"/>
      <c r="O490" s="35"/>
      <c r="P490" s="35"/>
      <c r="Q490" s="35"/>
      <c r="R490" s="35"/>
      <c r="S490" s="35"/>
      <c r="T490" s="35"/>
      <c r="U490" s="35"/>
      <c r="V490" s="126"/>
      <c r="W490" s="127"/>
      <c r="X490" s="128"/>
      <c r="Y490" s="7"/>
    </row>
    <row r="491" ht="13.55" customHeight="1">
      <c r="A491" s="79"/>
      <c r="B491" s="35"/>
      <c r="C491" s="35"/>
      <c r="D491" s="35"/>
      <c r="E491" s="35"/>
      <c r="F491" s="35"/>
      <c r="G491" s="35"/>
      <c r="H491" s="35"/>
      <c r="I491" s="35"/>
      <c r="J491" s="35"/>
      <c r="K491" s="35"/>
      <c r="L491" s="35"/>
      <c r="M491" s="35"/>
      <c r="N491" s="35"/>
      <c r="O491" s="35"/>
      <c r="P491" s="35"/>
      <c r="Q491" s="35"/>
      <c r="R491" s="35"/>
      <c r="S491" s="35"/>
      <c r="T491" s="35"/>
      <c r="U491" s="35"/>
      <c r="V491" s="126"/>
      <c r="W491" s="127"/>
      <c r="X491" s="128"/>
      <c r="Y491" s="7"/>
    </row>
    <row r="492" ht="13.55" customHeight="1">
      <c r="A492" s="79"/>
      <c r="B492" s="35"/>
      <c r="C492" s="35"/>
      <c r="D492" s="35"/>
      <c r="E492" s="35"/>
      <c r="F492" s="35"/>
      <c r="G492" s="35"/>
      <c r="H492" s="35"/>
      <c r="I492" s="35"/>
      <c r="J492" s="35"/>
      <c r="K492" s="35"/>
      <c r="L492" s="35"/>
      <c r="M492" s="35"/>
      <c r="N492" s="35"/>
      <c r="O492" s="35"/>
      <c r="P492" s="35"/>
      <c r="Q492" s="35"/>
      <c r="R492" s="35"/>
      <c r="S492" s="35"/>
      <c r="T492" s="35"/>
      <c r="U492" s="35"/>
      <c r="V492" s="126"/>
      <c r="W492" s="127"/>
      <c r="X492" s="128"/>
      <c r="Y492" s="7"/>
    </row>
    <row r="493" ht="13.55" customHeight="1">
      <c r="A493" s="79"/>
      <c r="B493" s="35"/>
      <c r="C493" s="35"/>
      <c r="D493" s="35"/>
      <c r="E493" s="35"/>
      <c r="F493" s="35"/>
      <c r="G493" s="35"/>
      <c r="H493" s="35"/>
      <c r="I493" s="35"/>
      <c r="J493" s="35"/>
      <c r="K493" s="35"/>
      <c r="L493" s="35"/>
      <c r="M493" s="35"/>
      <c r="N493" s="35"/>
      <c r="O493" s="35"/>
      <c r="P493" s="35"/>
      <c r="Q493" s="35"/>
      <c r="R493" s="35"/>
      <c r="S493" s="35"/>
      <c r="T493" s="35"/>
      <c r="U493" s="35"/>
      <c r="V493" s="126"/>
      <c r="W493" s="127"/>
      <c r="X493" s="128"/>
      <c r="Y493" s="7"/>
    </row>
    <row r="494" ht="13.55" customHeight="1">
      <c r="A494" s="79"/>
      <c r="B494" s="35"/>
      <c r="C494" s="35"/>
      <c r="D494" s="35"/>
      <c r="E494" s="35"/>
      <c r="F494" s="35"/>
      <c r="G494" s="35"/>
      <c r="H494" s="35"/>
      <c r="I494" s="35"/>
      <c r="J494" s="35"/>
      <c r="K494" s="35"/>
      <c r="L494" s="35"/>
      <c r="M494" s="35"/>
      <c r="N494" s="35"/>
      <c r="O494" s="35"/>
      <c r="P494" s="35"/>
      <c r="Q494" s="35"/>
      <c r="R494" s="35"/>
      <c r="S494" s="35"/>
      <c r="T494" s="35"/>
      <c r="U494" s="35"/>
      <c r="V494" s="126"/>
      <c r="W494" s="127"/>
      <c r="X494" s="128"/>
      <c r="Y494" s="7"/>
    </row>
    <row r="495" ht="13.55" customHeight="1">
      <c r="A495" s="79"/>
      <c r="B495" s="35"/>
      <c r="C495" s="35"/>
      <c r="D495" s="35"/>
      <c r="E495" s="35"/>
      <c r="F495" s="35"/>
      <c r="G495" s="35"/>
      <c r="H495" s="35"/>
      <c r="I495" s="35"/>
      <c r="J495" s="35"/>
      <c r="K495" s="35"/>
      <c r="L495" s="35"/>
      <c r="M495" s="35"/>
      <c r="N495" s="35"/>
      <c r="O495" s="35"/>
      <c r="P495" s="35"/>
      <c r="Q495" s="35"/>
      <c r="R495" s="35"/>
      <c r="S495" s="35"/>
      <c r="T495" s="35"/>
      <c r="U495" s="35"/>
      <c r="V495" s="126"/>
      <c r="W495" s="127"/>
      <c r="X495" s="128"/>
      <c r="Y495" s="7"/>
    </row>
    <row r="496" ht="13.55" customHeight="1">
      <c r="A496" s="79"/>
      <c r="B496" s="35"/>
      <c r="C496" s="35"/>
      <c r="D496" s="35"/>
      <c r="E496" s="35"/>
      <c r="F496" s="35"/>
      <c r="G496" s="35"/>
      <c r="H496" s="35"/>
      <c r="I496" s="35"/>
      <c r="J496" s="35"/>
      <c r="K496" s="35"/>
      <c r="L496" s="35"/>
      <c r="M496" s="35"/>
      <c r="N496" s="35"/>
      <c r="O496" s="35"/>
      <c r="P496" s="35"/>
      <c r="Q496" s="35"/>
      <c r="R496" s="35"/>
      <c r="S496" s="35"/>
      <c r="T496" s="35"/>
      <c r="U496" s="35"/>
      <c r="V496" s="126"/>
      <c r="W496" s="127"/>
      <c r="X496" s="128"/>
      <c r="Y496" s="7"/>
    </row>
    <row r="497" ht="13.55" customHeight="1">
      <c r="A497" s="79"/>
      <c r="B497" s="35"/>
      <c r="C497" s="35"/>
      <c r="D497" s="35"/>
      <c r="E497" s="35"/>
      <c r="F497" s="35"/>
      <c r="G497" s="35"/>
      <c r="H497" s="35"/>
      <c r="I497" s="35"/>
      <c r="J497" s="35"/>
      <c r="K497" s="35"/>
      <c r="L497" s="35"/>
      <c r="M497" s="35"/>
      <c r="N497" s="35"/>
      <c r="O497" s="35"/>
      <c r="P497" s="35"/>
      <c r="Q497" s="35"/>
      <c r="R497" s="35"/>
      <c r="S497" s="35"/>
      <c r="T497" s="35"/>
      <c r="U497" s="35"/>
      <c r="V497" s="126"/>
      <c r="W497" s="127"/>
      <c r="X497" s="128"/>
      <c r="Y497" s="7"/>
    </row>
    <row r="498" ht="13.55" customHeight="1">
      <c r="A498" s="79"/>
      <c r="B498" s="35"/>
      <c r="C498" s="35"/>
      <c r="D498" s="35"/>
      <c r="E498" s="35"/>
      <c r="F498" s="35"/>
      <c r="G498" s="35"/>
      <c r="H498" s="35"/>
      <c r="I498" s="35"/>
      <c r="J498" s="35"/>
      <c r="K498" s="35"/>
      <c r="L498" s="35"/>
      <c r="M498" s="35"/>
      <c r="N498" s="35"/>
      <c r="O498" s="35"/>
      <c r="P498" s="35"/>
      <c r="Q498" s="35"/>
      <c r="R498" s="35"/>
      <c r="S498" s="35"/>
      <c r="T498" s="35"/>
      <c r="U498" s="35"/>
      <c r="V498" s="126"/>
      <c r="W498" s="127"/>
      <c r="X498" s="128"/>
      <c r="Y498" s="7"/>
    </row>
    <row r="499" ht="13.55" customHeight="1">
      <c r="A499" s="79"/>
      <c r="B499" s="35"/>
      <c r="C499" s="35"/>
      <c r="D499" s="35"/>
      <c r="E499" s="35"/>
      <c r="F499" s="35"/>
      <c r="G499" s="35"/>
      <c r="H499" s="35"/>
      <c r="I499" s="35"/>
      <c r="J499" s="35"/>
      <c r="K499" s="35"/>
      <c r="L499" s="35"/>
      <c r="M499" s="35"/>
      <c r="N499" s="35"/>
      <c r="O499" s="35"/>
      <c r="P499" s="35"/>
      <c r="Q499" s="35"/>
      <c r="R499" s="35"/>
      <c r="S499" s="35"/>
      <c r="T499" s="35"/>
      <c r="U499" s="35"/>
      <c r="V499" s="126"/>
      <c r="W499" s="127"/>
      <c r="X499" s="128"/>
      <c r="Y499" s="7"/>
    </row>
    <row r="500" ht="13.55" customHeight="1">
      <c r="A500" s="79"/>
      <c r="B500" s="35"/>
      <c r="C500" s="35"/>
      <c r="D500" s="35"/>
      <c r="E500" s="35"/>
      <c r="F500" s="35"/>
      <c r="G500" s="35"/>
      <c r="H500" s="35"/>
      <c r="I500" s="35"/>
      <c r="J500" s="35"/>
      <c r="K500" s="35"/>
      <c r="L500" s="35"/>
      <c r="M500" s="35"/>
      <c r="N500" s="35"/>
      <c r="O500" s="35"/>
      <c r="P500" s="35"/>
      <c r="Q500" s="35"/>
      <c r="R500" s="35"/>
      <c r="S500" s="35"/>
      <c r="T500" s="35"/>
      <c r="U500" s="35"/>
      <c r="V500" s="126"/>
      <c r="W500" s="127"/>
      <c r="X500" s="128"/>
      <c r="Y500" s="7"/>
    </row>
    <row r="501" ht="13.55" customHeight="1">
      <c r="A501" s="79"/>
      <c r="B501" s="35"/>
      <c r="C501" s="35"/>
      <c r="D501" s="35"/>
      <c r="E501" s="35"/>
      <c r="F501" s="35"/>
      <c r="G501" s="35"/>
      <c r="H501" s="35"/>
      <c r="I501" s="35"/>
      <c r="J501" s="35"/>
      <c r="K501" s="35"/>
      <c r="L501" s="35"/>
      <c r="M501" s="35"/>
      <c r="N501" s="35"/>
      <c r="O501" s="35"/>
      <c r="P501" s="35"/>
      <c r="Q501" s="35"/>
      <c r="R501" s="35"/>
      <c r="S501" s="35"/>
      <c r="T501" s="35"/>
      <c r="U501" s="35"/>
      <c r="V501" s="126"/>
      <c r="W501" s="127"/>
      <c r="X501" s="128"/>
      <c r="Y501" s="7"/>
    </row>
    <row r="502" ht="13.55" customHeight="1">
      <c r="A502" s="79"/>
      <c r="B502" s="35"/>
      <c r="C502" s="35"/>
      <c r="D502" s="35"/>
      <c r="E502" s="35"/>
      <c r="F502" s="35"/>
      <c r="G502" s="35"/>
      <c r="H502" s="35"/>
      <c r="I502" s="35"/>
      <c r="J502" s="35"/>
      <c r="K502" s="35"/>
      <c r="L502" s="35"/>
      <c r="M502" s="35"/>
      <c r="N502" s="35"/>
      <c r="O502" s="35"/>
      <c r="P502" s="35"/>
      <c r="Q502" s="35"/>
      <c r="R502" s="35"/>
      <c r="S502" s="35"/>
      <c r="T502" s="35"/>
      <c r="U502" s="35"/>
      <c r="V502" s="126"/>
      <c r="W502" s="127"/>
      <c r="X502" s="128"/>
      <c r="Y502" s="7"/>
    </row>
    <row r="503" ht="13.55" customHeight="1">
      <c r="A503" s="79"/>
      <c r="B503" s="35"/>
      <c r="C503" s="35"/>
      <c r="D503" s="35"/>
      <c r="E503" s="35"/>
      <c r="F503" s="35"/>
      <c r="G503" s="35"/>
      <c r="H503" s="35"/>
      <c r="I503" s="35"/>
      <c r="J503" s="35"/>
      <c r="K503" s="35"/>
      <c r="L503" s="35"/>
      <c r="M503" s="35"/>
      <c r="N503" s="35"/>
      <c r="O503" s="35"/>
      <c r="P503" s="35"/>
      <c r="Q503" s="35"/>
      <c r="R503" s="35"/>
      <c r="S503" s="35"/>
      <c r="T503" s="35"/>
      <c r="U503" s="35"/>
      <c r="V503" s="126"/>
      <c r="W503" s="127"/>
      <c r="X503" s="128"/>
      <c r="Y503" s="7"/>
    </row>
    <row r="504" ht="13.55" customHeight="1">
      <c r="A504" s="79"/>
      <c r="B504" s="35"/>
      <c r="C504" s="35"/>
      <c r="D504" s="35"/>
      <c r="E504" s="35"/>
      <c r="F504" s="35"/>
      <c r="G504" s="35"/>
      <c r="H504" s="35"/>
      <c r="I504" s="35"/>
      <c r="J504" s="35"/>
      <c r="K504" s="35"/>
      <c r="L504" s="35"/>
      <c r="M504" s="35"/>
      <c r="N504" s="35"/>
      <c r="O504" s="35"/>
      <c r="P504" s="35"/>
      <c r="Q504" s="35"/>
      <c r="R504" s="35"/>
      <c r="S504" s="35"/>
      <c r="T504" s="35"/>
      <c r="U504" s="35"/>
      <c r="V504" s="126"/>
      <c r="W504" s="127"/>
      <c r="X504" s="128"/>
      <c r="Y504" s="7"/>
    </row>
    <row r="505" ht="13.55" customHeight="1">
      <c r="A505" s="79"/>
      <c r="B505" s="35"/>
      <c r="C505" s="35"/>
      <c r="D505" s="35"/>
      <c r="E505" s="35"/>
      <c r="F505" s="35"/>
      <c r="G505" s="35"/>
      <c r="H505" s="35"/>
      <c r="I505" s="35"/>
      <c r="J505" s="35"/>
      <c r="K505" s="35"/>
      <c r="L505" s="35"/>
      <c r="M505" s="35"/>
      <c r="N505" s="35"/>
      <c r="O505" s="35"/>
      <c r="P505" s="35"/>
      <c r="Q505" s="35"/>
      <c r="R505" s="35"/>
      <c r="S505" s="35"/>
      <c r="T505" s="35"/>
      <c r="U505" s="35"/>
      <c r="V505" s="126"/>
      <c r="W505" s="127"/>
      <c r="X505" s="128"/>
      <c r="Y505" s="7"/>
    </row>
    <row r="506" ht="13.55" customHeight="1">
      <c r="A506" s="79"/>
      <c r="B506" s="35"/>
      <c r="C506" s="35"/>
      <c r="D506" s="35"/>
      <c r="E506" s="35"/>
      <c r="F506" s="35"/>
      <c r="G506" s="35"/>
      <c r="H506" s="35"/>
      <c r="I506" s="35"/>
      <c r="J506" s="35"/>
      <c r="K506" s="35"/>
      <c r="L506" s="35"/>
      <c r="M506" s="35"/>
      <c r="N506" s="35"/>
      <c r="O506" s="35"/>
      <c r="P506" s="35"/>
      <c r="Q506" s="35"/>
      <c r="R506" s="35"/>
      <c r="S506" s="35"/>
      <c r="T506" s="35"/>
      <c r="U506" s="35"/>
      <c r="V506" s="126"/>
      <c r="W506" s="127"/>
      <c r="X506" s="128"/>
      <c r="Y506" s="7"/>
    </row>
    <row r="507" ht="13.55" customHeight="1">
      <c r="A507" s="79"/>
      <c r="B507" s="35"/>
      <c r="C507" s="35"/>
      <c r="D507" s="35"/>
      <c r="E507" s="35"/>
      <c r="F507" s="35"/>
      <c r="G507" s="35"/>
      <c r="H507" s="35"/>
      <c r="I507" s="35"/>
      <c r="J507" s="35"/>
      <c r="K507" s="35"/>
      <c r="L507" s="35"/>
      <c r="M507" s="35"/>
      <c r="N507" s="35"/>
      <c r="O507" s="35"/>
      <c r="P507" s="35"/>
      <c r="Q507" s="35"/>
      <c r="R507" s="35"/>
      <c r="S507" s="35"/>
      <c r="T507" s="35"/>
      <c r="U507" s="35"/>
      <c r="V507" s="126"/>
      <c r="W507" s="127"/>
      <c r="X507" s="128"/>
      <c r="Y507" s="7"/>
    </row>
    <row r="508" ht="13.55" customHeight="1">
      <c r="A508" s="79"/>
      <c r="B508" s="35"/>
      <c r="C508" s="35"/>
      <c r="D508" s="35"/>
      <c r="E508" s="35"/>
      <c r="F508" s="35"/>
      <c r="G508" s="35"/>
      <c r="H508" s="35"/>
      <c r="I508" s="35"/>
      <c r="J508" s="35"/>
      <c r="K508" s="35"/>
      <c r="L508" s="35"/>
      <c r="M508" s="35"/>
      <c r="N508" s="35"/>
      <c r="O508" s="35"/>
      <c r="P508" s="35"/>
      <c r="Q508" s="35"/>
      <c r="R508" s="35"/>
      <c r="S508" s="35"/>
      <c r="T508" s="35"/>
      <c r="U508" s="35"/>
      <c r="V508" s="126"/>
      <c r="W508" s="127"/>
      <c r="X508" s="128"/>
      <c r="Y508" s="7"/>
    </row>
    <row r="509" ht="13.55" customHeight="1">
      <c r="A509" s="79"/>
      <c r="B509" s="35"/>
      <c r="C509" s="35"/>
      <c r="D509" s="35"/>
      <c r="E509" s="35"/>
      <c r="F509" s="35"/>
      <c r="G509" s="35"/>
      <c r="H509" s="35"/>
      <c r="I509" s="35"/>
      <c r="J509" s="35"/>
      <c r="K509" s="35"/>
      <c r="L509" s="35"/>
      <c r="M509" s="35"/>
      <c r="N509" s="35"/>
      <c r="O509" s="35"/>
      <c r="P509" s="35"/>
      <c r="Q509" s="35"/>
      <c r="R509" s="35"/>
      <c r="S509" s="35"/>
      <c r="T509" s="35"/>
      <c r="U509" s="35"/>
      <c r="V509" s="126"/>
      <c r="W509" s="127"/>
      <c r="X509" s="128"/>
      <c r="Y509" s="7"/>
    </row>
    <row r="510" ht="13.55" customHeight="1">
      <c r="A510" s="79"/>
      <c r="B510" s="35"/>
      <c r="C510" s="35"/>
      <c r="D510" s="35"/>
      <c r="E510" s="35"/>
      <c r="F510" s="35"/>
      <c r="G510" s="35"/>
      <c r="H510" s="35"/>
      <c r="I510" s="35"/>
      <c r="J510" s="35"/>
      <c r="K510" s="35"/>
      <c r="L510" s="35"/>
      <c r="M510" s="35"/>
      <c r="N510" s="35"/>
      <c r="O510" s="35"/>
      <c r="P510" s="35"/>
      <c r="Q510" s="35"/>
      <c r="R510" s="35"/>
      <c r="S510" s="35"/>
      <c r="T510" s="35"/>
      <c r="U510" s="35"/>
      <c r="V510" s="126"/>
      <c r="W510" s="127"/>
      <c r="X510" s="128"/>
      <c r="Y510" s="7"/>
    </row>
    <row r="511" ht="13.55" customHeight="1">
      <c r="A511" s="79"/>
      <c r="B511" s="35"/>
      <c r="C511" s="35"/>
      <c r="D511" s="35"/>
      <c r="E511" s="35"/>
      <c r="F511" s="35"/>
      <c r="G511" s="35"/>
      <c r="H511" s="35"/>
      <c r="I511" s="35"/>
      <c r="J511" s="35"/>
      <c r="K511" s="35"/>
      <c r="L511" s="35"/>
      <c r="M511" s="35"/>
      <c r="N511" s="35"/>
      <c r="O511" s="35"/>
      <c r="P511" s="35"/>
      <c r="Q511" s="35"/>
      <c r="R511" s="35"/>
      <c r="S511" s="35"/>
      <c r="T511" s="35"/>
      <c r="U511" s="35"/>
      <c r="V511" s="126"/>
      <c r="W511" s="127"/>
      <c r="X511" s="128"/>
      <c r="Y511" s="7"/>
    </row>
    <row r="512" ht="13.55" customHeight="1">
      <c r="A512" s="79"/>
      <c r="B512" s="35"/>
      <c r="C512" s="35"/>
      <c r="D512" s="35"/>
      <c r="E512" s="35"/>
      <c r="F512" s="35"/>
      <c r="G512" s="35"/>
      <c r="H512" s="35"/>
      <c r="I512" s="35"/>
      <c r="J512" s="35"/>
      <c r="K512" s="35"/>
      <c r="L512" s="35"/>
      <c r="M512" s="35"/>
      <c r="N512" s="35"/>
      <c r="O512" s="35"/>
      <c r="P512" s="35"/>
      <c r="Q512" s="35"/>
      <c r="R512" s="35"/>
      <c r="S512" s="35"/>
      <c r="T512" s="35"/>
      <c r="U512" s="35"/>
      <c r="V512" s="126"/>
      <c r="W512" s="127"/>
      <c r="X512" s="128"/>
      <c r="Y512" s="7"/>
    </row>
    <row r="513" ht="13.55" customHeight="1">
      <c r="A513" s="79"/>
      <c r="B513" s="35"/>
      <c r="C513" s="35"/>
      <c r="D513" s="35"/>
      <c r="E513" s="35"/>
      <c r="F513" s="35"/>
      <c r="G513" s="35"/>
      <c r="H513" s="35"/>
      <c r="I513" s="35"/>
      <c r="J513" s="35"/>
      <c r="K513" s="35"/>
      <c r="L513" s="35"/>
      <c r="M513" s="35"/>
      <c r="N513" s="35"/>
      <c r="O513" s="35"/>
      <c r="P513" s="35"/>
      <c r="Q513" s="35"/>
      <c r="R513" s="35"/>
      <c r="S513" s="35"/>
      <c r="T513" s="35"/>
      <c r="U513" s="35"/>
      <c r="V513" s="126"/>
      <c r="W513" s="127"/>
      <c r="X513" s="128"/>
      <c r="Y513" s="7"/>
    </row>
    <row r="514" ht="13.55" customHeight="1">
      <c r="A514" s="79"/>
      <c r="B514" s="35"/>
      <c r="C514" s="35"/>
      <c r="D514" s="35"/>
      <c r="E514" s="35"/>
      <c r="F514" s="35"/>
      <c r="G514" s="35"/>
      <c r="H514" s="35"/>
      <c r="I514" s="35"/>
      <c r="J514" s="35"/>
      <c r="K514" s="35"/>
      <c r="L514" s="35"/>
      <c r="M514" s="35"/>
      <c r="N514" s="35"/>
      <c r="O514" s="35"/>
      <c r="P514" s="35"/>
      <c r="Q514" s="35"/>
      <c r="R514" s="35"/>
      <c r="S514" s="35"/>
      <c r="T514" s="35"/>
      <c r="U514" s="35"/>
      <c r="V514" s="126"/>
      <c r="W514" s="127"/>
      <c r="X514" s="128"/>
      <c r="Y514" s="7"/>
    </row>
    <row r="515" ht="13.55" customHeight="1">
      <c r="A515" s="79"/>
      <c r="B515" s="35"/>
      <c r="C515" s="35"/>
      <c r="D515" s="35"/>
      <c r="E515" s="35"/>
      <c r="F515" s="35"/>
      <c r="G515" s="35"/>
      <c r="H515" s="35"/>
      <c r="I515" s="35"/>
      <c r="J515" s="35"/>
      <c r="K515" s="35"/>
      <c r="L515" s="35"/>
      <c r="M515" s="35"/>
      <c r="N515" s="35"/>
      <c r="O515" s="35"/>
      <c r="P515" s="35"/>
      <c r="Q515" s="35"/>
      <c r="R515" s="35"/>
      <c r="S515" s="35"/>
      <c r="T515" s="35"/>
      <c r="U515" s="35"/>
      <c r="V515" s="126"/>
      <c r="W515" s="127"/>
      <c r="X515" s="128"/>
      <c r="Y515" s="7"/>
    </row>
    <row r="516" ht="13.55" customHeight="1">
      <c r="A516" s="79"/>
      <c r="B516" s="35"/>
      <c r="C516" s="35"/>
      <c r="D516" s="35"/>
      <c r="E516" s="35"/>
      <c r="F516" s="35"/>
      <c r="G516" s="35"/>
      <c r="H516" s="35"/>
      <c r="I516" s="35"/>
      <c r="J516" s="35"/>
      <c r="K516" s="35"/>
      <c r="L516" s="35"/>
      <c r="M516" s="35"/>
      <c r="N516" s="35"/>
      <c r="O516" s="35"/>
      <c r="P516" s="35"/>
      <c r="Q516" s="35"/>
      <c r="R516" s="35"/>
      <c r="S516" s="35"/>
      <c r="T516" s="35"/>
      <c r="U516" s="35"/>
      <c r="V516" s="126"/>
      <c r="W516" s="127"/>
      <c r="X516" s="128"/>
      <c r="Y516" s="7"/>
    </row>
    <row r="517" ht="13.55" customHeight="1">
      <c r="A517" s="79"/>
      <c r="B517" s="35"/>
      <c r="C517" s="35"/>
      <c r="D517" s="35"/>
      <c r="E517" s="35"/>
      <c r="F517" s="35"/>
      <c r="G517" s="35"/>
      <c r="H517" s="35"/>
      <c r="I517" s="35"/>
      <c r="J517" s="35"/>
      <c r="K517" s="35"/>
      <c r="L517" s="35"/>
      <c r="M517" s="35"/>
      <c r="N517" s="35"/>
      <c r="O517" s="35"/>
      <c r="P517" s="35"/>
      <c r="Q517" s="35"/>
      <c r="R517" s="35"/>
      <c r="S517" s="35"/>
      <c r="T517" s="35"/>
      <c r="U517" s="35"/>
      <c r="V517" s="126"/>
      <c r="W517" s="127"/>
      <c r="X517" s="128"/>
      <c r="Y517" s="7"/>
    </row>
    <row r="518" ht="13.55" customHeight="1">
      <c r="A518" s="79"/>
      <c r="B518" s="35"/>
      <c r="C518" s="35"/>
      <c r="D518" s="35"/>
      <c r="E518" s="35"/>
      <c r="F518" s="35"/>
      <c r="G518" s="35"/>
      <c r="H518" s="35"/>
      <c r="I518" s="35"/>
      <c r="J518" s="35"/>
      <c r="K518" s="35"/>
      <c r="L518" s="35"/>
      <c r="M518" s="35"/>
      <c r="N518" s="35"/>
      <c r="O518" s="35"/>
      <c r="P518" s="35"/>
      <c r="Q518" s="35"/>
      <c r="R518" s="35"/>
      <c r="S518" s="35"/>
      <c r="T518" s="35"/>
      <c r="U518" s="35"/>
      <c r="V518" s="126"/>
      <c r="W518" s="127"/>
      <c r="X518" s="128"/>
      <c r="Y518" s="7"/>
    </row>
    <row r="519" ht="13.55" customHeight="1">
      <c r="A519" s="79"/>
      <c r="B519" s="35"/>
      <c r="C519" s="35"/>
      <c r="D519" s="35"/>
      <c r="E519" s="35"/>
      <c r="F519" s="35"/>
      <c r="G519" s="35"/>
      <c r="H519" s="35"/>
      <c r="I519" s="35"/>
      <c r="J519" s="35"/>
      <c r="K519" s="35"/>
      <c r="L519" s="35"/>
      <c r="M519" s="35"/>
      <c r="N519" s="35"/>
      <c r="O519" s="35"/>
      <c r="P519" s="35"/>
      <c r="Q519" s="35"/>
      <c r="R519" s="35"/>
      <c r="S519" s="35"/>
      <c r="T519" s="35"/>
      <c r="U519" s="35"/>
      <c r="V519" s="126"/>
      <c r="W519" s="127"/>
      <c r="X519" s="128"/>
      <c r="Y519" s="7"/>
    </row>
    <row r="520" ht="13.55" customHeight="1">
      <c r="A520" s="79"/>
      <c r="B520" s="35"/>
      <c r="C520" s="35"/>
      <c r="D520" s="35"/>
      <c r="E520" s="35"/>
      <c r="F520" s="35"/>
      <c r="G520" s="35"/>
      <c r="H520" s="35"/>
      <c r="I520" s="35"/>
      <c r="J520" s="35"/>
      <c r="K520" s="35"/>
      <c r="L520" s="35"/>
      <c r="M520" s="35"/>
      <c r="N520" s="35"/>
      <c r="O520" s="35"/>
      <c r="P520" s="35"/>
      <c r="Q520" s="35"/>
      <c r="R520" s="35"/>
      <c r="S520" s="35"/>
      <c r="T520" s="35"/>
      <c r="U520" s="35"/>
      <c r="V520" s="126"/>
      <c r="W520" s="127"/>
      <c r="X520" s="128"/>
      <c r="Y520" s="7"/>
    </row>
    <row r="521" ht="13.55" customHeight="1">
      <c r="A521" s="79"/>
      <c r="B521" s="35"/>
      <c r="C521" s="35"/>
      <c r="D521" s="35"/>
      <c r="E521" s="35"/>
      <c r="F521" s="35"/>
      <c r="G521" s="35"/>
      <c r="H521" s="35"/>
      <c r="I521" s="35"/>
      <c r="J521" s="35"/>
      <c r="K521" s="35"/>
      <c r="L521" s="35"/>
      <c r="M521" s="35"/>
      <c r="N521" s="35"/>
      <c r="O521" s="35"/>
      <c r="P521" s="35"/>
      <c r="Q521" s="35"/>
      <c r="R521" s="35"/>
      <c r="S521" s="35"/>
      <c r="T521" s="35"/>
      <c r="U521" s="35"/>
      <c r="V521" s="126"/>
      <c r="W521" s="127"/>
      <c r="X521" s="128"/>
      <c r="Y521" s="7"/>
    </row>
    <row r="522" ht="13.55" customHeight="1">
      <c r="A522" s="79"/>
      <c r="B522" s="35"/>
      <c r="C522" s="35"/>
      <c r="D522" s="35"/>
      <c r="E522" s="35"/>
      <c r="F522" s="35"/>
      <c r="G522" s="35"/>
      <c r="H522" s="35"/>
      <c r="I522" s="35"/>
      <c r="J522" s="35"/>
      <c r="K522" s="35"/>
      <c r="L522" s="35"/>
      <c r="M522" s="35"/>
      <c r="N522" s="35"/>
      <c r="O522" s="35"/>
      <c r="P522" s="35"/>
      <c r="Q522" s="35"/>
      <c r="R522" s="35"/>
      <c r="S522" s="35"/>
      <c r="T522" s="35"/>
      <c r="U522" s="35"/>
      <c r="V522" s="126"/>
      <c r="W522" s="127"/>
      <c r="X522" s="128"/>
      <c r="Y522" s="7"/>
    </row>
    <row r="523" ht="13.55" customHeight="1">
      <c r="A523" s="79"/>
      <c r="B523" s="35"/>
      <c r="C523" s="35"/>
      <c r="D523" s="35"/>
      <c r="E523" s="35"/>
      <c r="F523" s="35"/>
      <c r="G523" s="35"/>
      <c r="H523" s="35"/>
      <c r="I523" s="35"/>
      <c r="J523" s="35"/>
      <c r="K523" s="35"/>
      <c r="L523" s="35"/>
      <c r="M523" s="35"/>
      <c r="N523" s="35"/>
      <c r="O523" s="35"/>
      <c r="P523" s="35"/>
      <c r="Q523" s="35"/>
      <c r="R523" s="35"/>
      <c r="S523" s="35"/>
      <c r="T523" s="35"/>
      <c r="U523" s="35"/>
      <c r="V523" s="126"/>
      <c r="W523" s="127"/>
      <c r="X523" s="128"/>
      <c r="Y523" s="7"/>
    </row>
    <row r="524" ht="13.55" customHeight="1">
      <c r="A524" s="79"/>
      <c r="B524" s="35"/>
      <c r="C524" s="35"/>
      <c r="D524" s="35"/>
      <c r="E524" s="35"/>
      <c r="F524" s="35"/>
      <c r="G524" s="35"/>
      <c r="H524" s="35"/>
      <c r="I524" s="35"/>
      <c r="J524" s="35"/>
      <c r="K524" s="35"/>
      <c r="L524" s="35"/>
      <c r="M524" s="35"/>
      <c r="N524" s="35"/>
      <c r="O524" s="35"/>
      <c r="P524" s="35"/>
      <c r="Q524" s="35"/>
      <c r="R524" s="35"/>
      <c r="S524" s="35"/>
      <c r="T524" s="35"/>
      <c r="U524" s="35"/>
      <c r="V524" s="126"/>
      <c r="W524" s="127"/>
      <c r="X524" s="128"/>
      <c r="Y524" s="7"/>
    </row>
    <row r="525" ht="13.55" customHeight="1">
      <c r="A525" s="79"/>
      <c r="B525" s="35"/>
      <c r="C525" s="35"/>
      <c r="D525" s="35"/>
      <c r="E525" s="35"/>
      <c r="F525" s="35"/>
      <c r="G525" s="35"/>
      <c r="H525" s="35"/>
      <c r="I525" s="35"/>
      <c r="J525" s="35"/>
      <c r="K525" s="35"/>
      <c r="L525" s="35"/>
      <c r="M525" s="35"/>
      <c r="N525" s="35"/>
      <c r="O525" s="35"/>
      <c r="P525" s="35"/>
      <c r="Q525" s="35"/>
      <c r="R525" s="35"/>
      <c r="S525" s="35"/>
      <c r="T525" s="35"/>
      <c r="U525" s="35"/>
      <c r="V525" s="126"/>
      <c r="W525" s="127"/>
      <c r="X525" s="128"/>
      <c r="Y525" s="7"/>
    </row>
    <row r="526" ht="13.55" customHeight="1">
      <c r="A526" s="79"/>
      <c r="B526" s="35"/>
      <c r="C526" s="35"/>
      <c r="D526" s="35"/>
      <c r="E526" s="35"/>
      <c r="F526" s="35"/>
      <c r="G526" s="35"/>
      <c r="H526" s="35"/>
      <c r="I526" s="35"/>
      <c r="J526" s="35"/>
      <c r="K526" s="35"/>
      <c r="L526" s="35"/>
      <c r="M526" s="35"/>
      <c r="N526" s="35"/>
      <c r="O526" s="35"/>
      <c r="P526" s="35"/>
      <c r="Q526" s="35"/>
      <c r="R526" s="35"/>
      <c r="S526" s="35"/>
      <c r="T526" s="35"/>
      <c r="U526" s="35"/>
      <c r="V526" s="126"/>
      <c r="W526" s="127"/>
      <c r="X526" s="128"/>
      <c r="Y526" s="7"/>
    </row>
    <row r="527" ht="13.55" customHeight="1">
      <c r="A527" s="79"/>
      <c r="B527" s="35"/>
      <c r="C527" s="35"/>
      <c r="D527" s="35"/>
      <c r="E527" s="35"/>
      <c r="F527" s="35"/>
      <c r="G527" s="35"/>
      <c r="H527" s="35"/>
      <c r="I527" s="35"/>
      <c r="J527" s="35"/>
      <c r="K527" s="35"/>
      <c r="L527" s="35"/>
      <c r="M527" s="35"/>
      <c r="N527" s="35"/>
      <c r="O527" s="35"/>
      <c r="P527" s="35"/>
      <c r="Q527" s="35"/>
      <c r="R527" s="35"/>
      <c r="S527" s="35"/>
      <c r="T527" s="35"/>
      <c r="U527" s="35"/>
      <c r="V527" s="126"/>
      <c r="W527" s="127"/>
      <c r="X527" s="128"/>
      <c r="Y527" s="7"/>
    </row>
    <row r="528" ht="13.55" customHeight="1">
      <c r="A528" s="79"/>
      <c r="B528" s="35"/>
      <c r="C528" s="35"/>
      <c r="D528" s="35"/>
      <c r="E528" s="35"/>
      <c r="F528" s="35"/>
      <c r="G528" s="35"/>
      <c r="H528" s="35"/>
      <c r="I528" s="35"/>
      <c r="J528" s="35"/>
      <c r="K528" s="35"/>
      <c r="L528" s="35"/>
      <c r="M528" s="35"/>
      <c r="N528" s="35"/>
      <c r="O528" s="35"/>
      <c r="P528" s="35"/>
      <c r="Q528" s="35"/>
      <c r="R528" s="35"/>
      <c r="S528" s="35"/>
      <c r="T528" s="35"/>
      <c r="U528" s="35"/>
      <c r="V528" s="126"/>
      <c r="W528" s="127"/>
      <c r="X528" s="128"/>
      <c r="Y528" s="7"/>
    </row>
    <row r="529" ht="13.55" customHeight="1">
      <c r="A529" s="79"/>
      <c r="B529" s="35"/>
      <c r="C529" s="35"/>
      <c r="D529" s="35"/>
      <c r="E529" s="35"/>
      <c r="F529" s="35"/>
      <c r="G529" s="35"/>
      <c r="H529" s="35"/>
      <c r="I529" s="35"/>
      <c r="J529" s="35"/>
      <c r="K529" s="35"/>
      <c r="L529" s="35"/>
      <c r="M529" s="35"/>
      <c r="N529" s="35"/>
      <c r="O529" s="35"/>
      <c r="P529" s="35"/>
      <c r="Q529" s="35"/>
      <c r="R529" s="35"/>
      <c r="S529" s="35"/>
      <c r="T529" s="35"/>
      <c r="U529" s="35"/>
      <c r="V529" s="126"/>
      <c r="W529" s="127"/>
      <c r="X529" s="128"/>
      <c r="Y529" s="7"/>
    </row>
    <row r="530" ht="13.55" customHeight="1">
      <c r="A530" s="79"/>
      <c r="B530" s="35"/>
      <c r="C530" s="35"/>
      <c r="D530" s="35"/>
      <c r="E530" s="35"/>
      <c r="F530" s="35"/>
      <c r="G530" s="35"/>
      <c r="H530" s="35"/>
      <c r="I530" s="35"/>
      <c r="J530" s="35"/>
      <c r="K530" s="35"/>
      <c r="L530" s="35"/>
      <c r="M530" s="35"/>
      <c r="N530" s="35"/>
      <c r="O530" s="35"/>
      <c r="P530" s="35"/>
      <c r="Q530" s="35"/>
      <c r="R530" s="35"/>
      <c r="S530" s="35"/>
      <c r="T530" s="35"/>
      <c r="U530" s="35"/>
      <c r="V530" s="126"/>
      <c r="W530" s="127"/>
      <c r="X530" s="128"/>
      <c r="Y530" s="7"/>
    </row>
    <row r="531" ht="13.55" customHeight="1">
      <c r="A531" s="79"/>
      <c r="B531" s="35"/>
      <c r="C531" s="35"/>
      <c r="D531" s="35"/>
      <c r="E531" s="35"/>
      <c r="F531" s="35"/>
      <c r="G531" s="35"/>
      <c r="H531" s="35"/>
      <c r="I531" s="35"/>
      <c r="J531" s="35"/>
      <c r="K531" s="35"/>
      <c r="L531" s="35"/>
      <c r="M531" s="35"/>
      <c r="N531" s="35"/>
      <c r="O531" s="35"/>
      <c r="P531" s="35"/>
      <c r="Q531" s="35"/>
      <c r="R531" s="35"/>
      <c r="S531" s="35"/>
      <c r="T531" s="35"/>
      <c r="U531" s="35"/>
      <c r="V531" s="126"/>
      <c r="W531" s="127"/>
      <c r="X531" s="128"/>
      <c r="Y531" s="7"/>
    </row>
    <row r="532" ht="13.55" customHeight="1">
      <c r="A532" s="79"/>
      <c r="B532" s="35"/>
      <c r="C532" s="35"/>
      <c r="D532" s="35"/>
      <c r="E532" s="35"/>
      <c r="F532" s="35"/>
      <c r="G532" s="35"/>
      <c r="H532" s="35"/>
      <c r="I532" s="35"/>
      <c r="J532" s="35"/>
      <c r="K532" s="35"/>
      <c r="L532" s="35"/>
      <c r="M532" s="35"/>
      <c r="N532" s="35"/>
      <c r="O532" s="35"/>
      <c r="P532" s="35"/>
      <c r="Q532" s="35"/>
      <c r="R532" s="35"/>
      <c r="S532" s="35"/>
      <c r="T532" s="35"/>
      <c r="U532" s="35"/>
      <c r="V532" s="126"/>
      <c r="W532" s="127"/>
      <c r="X532" s="128"/>
      <c r="Y532" s="7"/>
    </row>
    <row r="533" ht="13.55" customHeight="1">
      <c r="A533" s="79"/>
      <c r="B533" s="35"/>
      <c r="C533" s="35"/>
      <c r="D533" s="35"/>
      <c r="E533" s="35"/>
      <c r="F533" s="35"/>
      <c r="G533" s="35"/>
      <c r="H533" s="35"/>
      <c r="I533" s="35"/>
      <c r="J533" s="35"/>
      <c r="K533" s="35"/>
      <c r="L533" s="35"/>
      <c r="M533" s="35"/>
      <c r="N533" s="35"/>
      <c r="O533" s="35"/>
      <c r="P533" s="35"/>
      <c r="Q533" s="35"/>
      <c r="R533" s="35"/>
      <c r="S533" s="35"/>
      <c r="T533" s="35"/>
      <c r="U533" s="35"/>
      <c r="V533" s="126"/>
      <c r="W533" s="127"/>
      <c r="X533" s="128"/>
      <c r="Y533" s="7"/>
    </row>
    <row r="534" ht="13.55" customHeight="1">
      <c r="A534" s="79"/>
      <c r="B534" s="35"/>
      <c r="C534" s="35"/>
      <c r="D534" s="35"/>
      <c r="E534" s="35"/>
      <c r="F534" s="35"/>
      <c r="G534" s="35"/>
      <c r="H534" s="35"/>
      <c r="I534" s="35"/>
      <c r="J534" s="35"/>
      <c r="K534" s="35"/>
      <c r="L534" s="35"/>
      <c r="M534" s="35"/>
      <c r="N534" s="35"/>
      <c r="O534" s="35"/>
      <c r="P534" s="35"/>
      <c r="Q534" s="35"/>
      <c r="R534" s="35"/>
      <c r="S534" s="35"/>
      <c r="T534" s="35"/>
      <c r="U534" s="35"/>
      <c r="V534" s="126"/>
      <c r="W534" s="127"/>
      <c r="X534" s="128"/>
      <c r="Y534" s="7"/>
    </row>
    <row r="535" ht="13.55" customHeight="1">
      <c r="A535" s="79"/>
      <c r="B535" s="35"/>
      <c r="C535" s="35"/>
      <c r="D535" s="35"/>
      <c r="E535" s="35"/>
      <c r="F535" s="35"/>
      <c r="G535" s="35"/>
      <c r="H535" s="35"/>
      <c r="I535" s="35"/>
      <c r="J535" s="35"/>
      <c r="K535" s="35"/>
      <c r="L535" s="35"/>
      <c r="M535" s="35"/>
      <c r="N535" s="35"/>
      <c r="O535" s="35"/>
      <c r="P535" s="35"/>
      <c r="Q535" s="35"/>
      <c r="R535" s="35"/>
      <c r="S535" s="35"/>
      <c r="T535" s="35"/>
      <c r="U535" s="35"/>
      <c r="V535" s="126"/>
      <c r="W535" s="127"/>
      <c r="X535" s="128"/>
      <c r="Y535" s="7"/>
    </row>
    <row r="536" ht="13.55" customHeight="1">
      <c r="A536" s="79"/>
      <c r="B536" s="35"/>
      <c r="C536" s="35"/>
      <c r="D536" s="35"/>
      <c r="E536" s="35"/>
      <c r="F536" s="35"/>
      <c r="G536" s="35"/>
      <c r="H536" s="35"/>
      <c r="I536" s="35"/>
      <c r="J536" s="35"/>
      <c r="K536" s="35"/>
      <c r="L536" s="35"/>
      <c r="M536" s="35"/>
      <c r="N536" s="35"/>
      <c r="O536" s="35"/>
      <c r="P536" s="35"/>
      <c r="Q536" s="35"/>
      <c r="R536" s="35"/>
      <c r="S536" s="35"/>
      <c r="T536" s="35"/>
      <c r="U536" s="35"/>
      <c r="V536" s="126"/>
      <c r="W536" s="127"/>
      <c r="X536" s="128"/>
      <c r="Y536" s="7"/>
    </row>
    <row r="537" ht="13.55" customHeight="1">
      <c r="A537" s="79"/>
      <c r="B537" s="35"/>
      <c r="C537" s="35"/>
      <c r="D537" s="35"/>
      <c r="E537" s="35"/>
      <c r="F537" s="35"/>
      <c r="G537" s="35"/>
      <c r="H537" s="35"/>
      <c r="I537" s="35"/>
      <c r="J537" s="35"/>
      <c r="K537" s="35"/>
      <c r="L537" s="35"/>
      <c r="M537" s="35"/>
      <c r="N537" s="35"/>
      <c r="O537" s="35"/>
      <c r="P537" s="35"/>
      <c r="Q537" s="35"/>
      <c r="R537" s="35"/>
      <c r="S537" s="35"/>
      <c r="T537" s="35"/>
      <c r="U537" s="35"/>
      <c r="V537" s="126"/>
      <c r="W537" s="127"/>
      <c r="X537" s="128"/>
      <c r="Y537" s="7"/>
    </row>
    <row r="538" ht="13.55" customHeight="1">
      <c r="A538" s="79"/>
      <c r="B538" s="35"/>
      <c r="C538" s="35"/>
      <c r="D538" s="35"/>
      <c r="E538" s="35"/>
      <c r="F538" s="35"/>
      <c r="G538" s="35"/>
      <c r="H538" s="35"/>
      <c r="I538" s="35"/>
      <c r="J538" s="35"/>
      <c r="K538" s="35"/>
      <c r="L538" s="35"/>
      <c r="M538" s="35"/>
      <c r="N538" s="35"/>
      <c r="O538" s="35"/>
      <c r="P538" s="35"/>
      <c r="Q538" s="35"/>
      <c r="R538" s="35"/>
      <c r="S538" s="35"/>
      <c r="T538" s="35"/>
      <c r="U538" s="35"/>
      <c r="V538" s="126"/>
      <c r="W538" s="127"/>
      <c r="X538" s="128"/>
      <c r="Y538" s="7"/>
    </row>
    <row r="539" ht="13.55" customHeight="1">
      <c r="A539" s="79"/>
      <c r="B539" s="35"/>
      <c r="C539" s="35"/>
      <c r="D539" s="35"/>
      <c r="E539" s="35"/>
      <c r="F539" s="35"/>
      <c r="G539" s="35"/>
      <c r="H539" s="35"/>
      <c r="I539" s="35"/>
      <c r="J539" s="35"/>
      <c r="K539" s="35"/>
      <c r="L539" s="35"/>
      <c r="M539" s="35"/>
      <c r="N539" s="35"/>
      <c r="O539" s="35"/>
      <c r="P539" s="35"/>
      <c r="Q539" s="35"/>
      <c r="R539" s="35"/>
      <c r="S539" s="35"/>
      <c r="T539" s="35"/>
      <c r="U539" s="35"/>
      <c r="V539" s="126"/>
      <c r="W539" s="127"/>
      <c r="X539" s="128"/>
      <c r="Y539" s="7"/>
    </row>
    <row r="540" ht="13.55" customHeight="1">
      <c r="A540" s="79"/>
      <c r="B540" s="35"/>
      <c r="C540" s="35"/>
      <c r="D540" s="35"/>
      <c r="E540" s="35"/>
      <c r="F540" s="35"/>
      <c r="G540" s="35"/>
      <c r="H540" s="35"/>
      <c r="I540" s="35"/>
      <c r="J540" s="35"/>
      <c r="K540" s="35"/>
      <c r="L540" s="35"/>
      <c r="M540" s="35"/>
      <c r="N540" s="35"/>
      <c r="O540" s="35"/>
      <c r="P540" s="35"/>
      <c r="Q540" s="35"/>
      <c r="R540" s="35"/>
      <c r="S540" s="35"/>
      <c r="T540" s="35"/>
      <c r="U540" s="35"/>
      <c r="V540" s="126"/>
      <c r="W540" s="127"/>
      <c r="X540" s="128"/>
      <c r="Y540" s="7"/>
    </row>
    <row r="541" ht="13.55" customHeight="1">
      <c r="A541" s="79"/>
      <c r="B541" s="35"/>
      <c r="C541" s="35"/>
      <c r="D541" s="35"/>
      <c r="E541" s="35"/>
      <c r="F541" s="35"/>
      <c r="G541" s="35"/>
      <c r="H541" s="35"/>
      <c r="I541" s="35"/>
      <c r="J541" s="35"/>
      <c r="K541" s="35"/>
      <c r="L541" s="35"/>
      <c r="M541" s="35"/>
      <c r="N541" s="35"/>
      <c r="O541" s="35"/>
      <c r="P541" s="35"/>
      <c r="Q541" s="35"/>
      <c r="R541" s="35"/>
      <c r="S541" s="35"/>
      <c r="T541" s="35"/>
      <c r="U541" s="35"/>
      <c r="V541" s="126"/>
      <c r="W541" s="127"/>
      <c r="X541" s="128"/>
      <c r="Y541" s="7"/>
    </row>
    <row r="542" ht="13.55" customHeight="1">
      <c r="A542" s="79"/>
      <c r="B542" s="35"/>
      <c r="C542" s="35"/>
      <c r="D542" s="35"/>
      <c r="E542" s="35"/>
      <c r="F542" s="35"/>
      <c r="G542" s="35"/>
      <c r="H542" s="35"/>
      <c r="I542" s="35"/>
      <c r="J542" s="35"/>
      <c r="K542" s="35"/>
      <c r="L542" s="35"/>
      <c r="M542" s="35"/>
      <c r="N542" s="35"/>
      <c r="O542" s="35"/>
      <c r="P542" s="35"/>
      <c r="Q542" s="35"/>
      <c r="R542" s="35"/>
      <c r="S542" s="35"/>
      <c r="T542" s="35"/>
      <c r="U542" s="35"/>
      <c r="V542" s="126"/>
      <c r="W542" s="127"/>
      <c r="X542" s="128"/>
      <c r="Y542" s="7"/>
    </row>
    <row r="543" ht="13.55" customHeight="1">
      <c r="A543" s="79"/>
      <c r="B543" s="35"/>
      <c r="C543" s="35"/>
      <c r="D543" s="35"/>
      <c r="E543" s="35"/>
      <c r="F543" s="35"/>
      <c r="G543" s="35"/>
      <c r="H543" s="35"/>
      <c r="I543" s="35"/>
      <c r="J543" s="35"/>
      <c r="K543" s="35"/>
      <c r="L543" s="35"/>
      <c r="M543" s="35"/>
      <c r="N543" s="35"/>
      <c r="O543" s="35"/>
      <c r="P543" s="35"/>
      <c r="Q543" s="35"/>
      <c r="R543" s="35"/>
      <c r="S543" s="35"/>
      <c r="T543" s="35"/>
      <c r="U543" s="35"/>
      <c r="V543" s="126"/>
      <c r="W543" s="127"/>
      <c r="X543" s="128"/>
      <c r="Y543" s="7"/>
    </row>
    <row r="544" ht="13.55" customHeight="1">
      <c r="A544" s="79"/>
      <c r="B544" s="35"/>
      <c r="C544" s="35"/>
      <c r="D544" s="35"/>
      <c r="E544" s="35"/>
      <c r="F544" s="35"/>
      <c r="G544" s="35"/>
      <c r="H544" s="35"/>
      <c r="I544" s="35"/>
      <c r="J544" s="35"/>
      <c r="K544" s="35"/>
      <c r="L544" s="35"/>
      <c r="M544" s="35"/>
      <c r="N544" s="35"/>
      <c r="O544" s="35"/>
      <c r="P544" s="35"/>
      <c r="Q544" s="35"/>
      <c r="R544" s="35"/>
      <c r="S544" s="35"/>
      <c r="T544" s="35"/>
      <c r="U544" s="35"/>
      <c r="V544" s="126"/>
      <c r="W544" s="127"/>
      <c r="X544" s="128"/>
      <c r="Y544" s="7"/>
    </row>
    <row r="545" ht="13.55" customHeight="1">
      <c r="A545" s="79"/>
      <c r="B545" s="35"/>
      <c r="C545" s="35"/>
      <c r="D545" s="35"/>
      <c r="E545" s="35"/>
      <c r="F545" s="35"/>
      <c r="G545" s="35"/>
      <c r="H545" s="35"/>
      <c r="I545" s="35"/>
      <c r="J545" s="35"/>
      <c r="K545" s="35"/>
      <c r="L545" s="35"/>
      <c r="M545" s="35"/>
      <c r="N545" s="35"/>
      <c r="O545" s="35"/>
      <c r="P545" s="35"/>
      <c r="Q545" s="35"/>
      <c r="R545" s="35"/>
      <c r="S545" s="35"/>
      <c r="T545" s="35"/>
      <c r="U545" s="35"/>
      <c r="V545" s="126"/>
      <c r="W545" s="127"/>
      <c r="X545" s="128"/>
      <c r="Y545" s="7"/>
    </row>
    <row r="546" ht="13.55" customHeight="1">
      <c r="A546" s="79"/>
      <c r="B546" s="35"/>
      <c r="C546" s="35"/>
      <c r="D546" s="35"/>
      <c r="E546" s="35"/>
      <c r="F546" s="35"/>
      <c r="G546" s="35"/>
      <c r="H546" s="35"/>
      <c r="I546" s="35"/>
      <c r="J546" s="35"/>
      <c r="K546" s="35"/>
      <c r="L546" s="35"/>
      <c r="M546" s="35"/>
      <c r="N546" s="35"/>
      <c r="O546" s="35"/>
      <c r="P546" s="35"/>
      <c r="Q546" s="35"/>
      <c r="R546" s="35"/>
      <c r="S546" s="35"/>
      <c r="T546" s="35"/>
      <c r="U546" s="35"/>
      <c r="V546" s="126"/>
      <c r="W546" s="127"/>
      <c r="X546" s="128"/>
      <c r="Y546" s="7"/>
    </row>
    <row r="547" ht="13.55" customHeight="1">
      <c r="A547" s="79"/>
      <c r="B547" s="35"/>
      <c r="C547" s="35"/>
      <c r="D547" s="35"/>
      <c r="E547" s="35"/>
      <c r="F547" s="35"/>
      <c r="G547" s="35"/>
      <c r="H547" s="35"/>
      <c r="I547" s="35"/>
      <c r="J547" s="35"/>
      <c r="K547" s="35"/>
      <c r="L547" s="35"/>
      <c r="M547" s="35"/>
      <c r="N547" s="35"/>
      <c r="O547" s="35"/>
      <c r="P547" s="35"/>
      <c r="Q547" s="35"/>
      <c r="R547" s="35"/>
      <c r="S547" s="35"/>
      <c r="T547" s="35"/>
      <c r="U547" s="35"/>
      <c r="V547" s="126"/>
      <c r="W547" s="127"/>
      <c r="X547" s="128"/>
      <c r="Y547" s="7"/>
    </row>
    <row r="548" ht="13.55" customHeight="1">
      <c r="A548" s="79"/>
      <c r="B548" s="35"/>
      <c r="C548" s="35"/>
      <c r="D548" s="35"/>
      <c r="E548" s="35"/>
      <c r="F548" s="35"/>
      <c r="G548" s="35"/>
      <c r="H548" s="35"/>
      <c r="I548" s="35"/>
      <c r="J548" s="35"/>
      <c r="K548" s="35"/>
      <c r="L548" s="35"/>
      <c r="M548" s="35"/>
      <c r="N548" s="35"/>
      <c r="O548" s="35"/>
      <c r="P548" s="35"/>
      <c r="Q548" s="35"/>
      <c r="R548" s="35"/>
      <c r="S548" s="35"/>
      <c r="T548" s="35"/>
      <c r="U548" s="35"/>
      <c r="V548" s="126"/>
      <c r="W548" s="127"/>
      <c r="X548" s="128"/>
      <c r="Y548" s="7"/>
    </row>
    <row r="549" ht="13.55" customHeight="1">
      <c r="A549" s="79"/>
      <c r="B549" s="35"/>
      <c r="C549" s="35"/>
      <c r="D549" s="35"/>
      <c r="E549" s="35"/>
      <c r="F549" s="35"/>
      <c r="G549" s="35"/>
      <c r="H549" s="35"/>
      <c r="I549" s="35"/>
      <c r="J549" s="35"/>
      <c r="K549" s="35"/>
      <c r="L549" s="35"/>
      <c r="M549" s="35"/>
      <c r="N549" s="35"/>
      <c r="O549" s="35"/>
      <c r="P549" s="35"/>
      <c r="Q549" s="35"/>
      <c r="R549" s="35"/>
      <c r="S549" s="35"/>
      <c r="T549" s="35"/>
      <c r="U549" s="35"/>
      <c r="V549" s="126"/>
      <c r="W549" s="127"/>
      <c r="X549" s="128"/>
      <c r="Y549" s="7"/>
    </row>
    <row r="550" ht="13.55" customHeight="1">
      <c r="A550" s="79"/>
      <c r="B550" s="35"/>
      <c r="C550" s="35"/>
      <c r="D550" s="35"/>
      <c r="E550" s="35"/>
      <c r="F550" s="35"/>
      <c r="G550" s="35"/>
      <c r="H550" s="35"/>
      <c r="I550" s="35"/>
      <c r="J550" s="35"/>
      <c r="K550" s="35"/>
      <c r="L550" s="35"/>
      <c r="M550" s="35"/>
      <c r="N550" s="35"/>
      <c r="O550" s="35"/>
      <c r="P550" s="35"/>
      <c r="Q550" s="35"/>
      <c r="R550" s="35"/>
      <c r="S550" s="35"/>
      <c r="T550" s="35"/>
      <c r="U550" s="35"/>
      <c r="V550" s="126"/>
      <c r="W550" s="127"/>
      <c r="X550" s="128"/>
      <c r="Y550" s="7"/>
    </row>
    <row r="551" ht="13.55" customHeight="1">
      <c r="A551" s="79"/>
      <c r="B551" s="35"/>
      <c r="C551" s="35"/>
      <c r="D551" s="35"/>
      <c r="E551" s="35"/>
      <c r="F551" s="35"/>
      <c r="G551" s="35"/>
      <c r="H551" s="35"/>
      <c r="I551" s="35"/>
      <c r="J551" s="35"/>
      <c r="K551" s="35"/>
      <c r="L551" s="35"/>
      <c r="M551" s="35"/>
      <c r="N551" s="35"/>
      <c r="O551" s="35"/>
      <c r="P551" s="35"/>
      <c r="Q551" s="35"/>
      <c r="R551" s="35"/>
      <c r="S551" s="35"/>
      <c r="T551" s="35"/>
      <c r="U551" s="35"/>
      <c r="V551" s="126"/>
      <c r="W551" s="127"/>
      <c r="X551" s="128"/>
      <c r="Y551" s="7"/>
    </row>
    <row r="552" ht="13.55" customHeight="1">
      <c r="A552" s="79"/>
      <c r="B552" s="35"/>
      <c r="C552" s="35"/>
      <c r="D552" s="35"/>
      <c r="E552" s="35"/>
      <c r="F552" s="35"/>
      <c r="G552" s="35"/>
      <c r="H552" s="35"/>
      <c r="I552" s="35"/>
      <c r="J552" s="35"/>
      <c r="K552" s="35"/>
      <c r="L552" s="35"/>
      <c r="M552" s="35"/>
      <c r="N552" s="35"/>
      <c r="O552" s="35"/>
      <c r="P552" s="35"/>
      <c r="Q552" s="35"/>
      <c r="R552" s="35"/>
      <c r="S552" s="35"/>
      <c r="T552" s="35"/>
      <c r="U552" s="35"/>
      <c r="V552" s="126"/>
      <c r="W552" s="127"/>
      <c r="X552" s="128"/>
      <c r="Y552" s="7"/>
    </row>
    <row r="553" ht="13.55" customHeight="1">
      <c r="A553" s="79"/>
      <c r="B553" s="35"/>
      <c r="C553" s="35"/>
      <c r="D553" s="35"/>
      <c r="E553" s="35"/>
      <c r="F553" s="35"/>
      <c r="G553" s="35"/>
      <c r="H553" s="35"/>
      <c r="I553" s="35"/>
      <c r="J553" s="35"/>
      <c r="K553" s="35"/>
      <c r="L553" s="35"/>
      <c r="M553" s="35"/>
      <c r="N553" s="35"/>
      <c r="O553" s="35"/>
      <c r="P553" s="35"/>
      <c r="Q553" s="35"/>
      <c r="R553" s="35"/>
      <c r="S553" s="35"/>
      <c r="T553" s="35"/>
      <c r="U553" s="35"/>
      <c r="V553" s="126"/>
      <c r="W553" s="127"/>
      <c r="X553" s="128"/>
      <c r="Y553" s="7"/>
    </row>
    <row r="554" ht="13.55" customHeight="1">
      <c r="A554" s="79"/>
      <c r="B554" s="35"/>
      <c r="C554" s="35"/>
      <c r="D554" s="35"/>
      <c r="E554" s="35"/>
      <c r="F554" s="35"/>
      <c r="G554" s="35"/>
      <c r="H554" s="35"/>
      <c r="I554" s="35"/>
      <c r="J554" s="35"/>
      <c r="K554" s="35"/>
      <c r="L554" s="35"/>
      <c r="M554" s="35"/>
      <c r="N554" s="35"/>
      <c r="O554" s="35"/>
      <c r="P554" s="35"/>
      <c r="Q554" s="35"/>
      <c r="R554" s="35"/>
      <c r="S554" s="35"/>
      <c r="T554" s="35"/>
      <c r="U554" s="35"/>
      <c r="V554" s="126"/>
      <c r="W554" s="127"/>
      <c r="X554" s="128"/>
      <c r="Y554" s="7"/>
    </row>
    <row r="555" ht="13.55" customHeight="1">
      <c r="A555" s="79"/>
      <c r="B555" s="35"/>
      <c r="C555" s="35"/>
      <c r="D555" s="35"/>
      <c r="E555" s="35"/>
      <c r="F555" s="35"/>
      <c r="G555" s="35"/>
      <c r="H555" s="35"/>
      <c r="I555" s="35"/>
      <c r="J555" s="35"/>
      <c r="K555" s="35"/>
      <c r="L555" s="35"/>
      <c r="M555" s="35"/>
      <c r="N555" s="35"/>
      <c r="O555" s="35"/>
      <c r="P555" s="35"/>
      <c r="Q555" s="35"/>
      <c r="R555" s="35"/>
      <c r="S555" s="35"/>
      <c r="T555" s="35"/>
      <c r="U555" s="35"/>
      <c r="V555" s="126"/>
      <c r="W555" s="127"/>
      <c r="X555" s="128"/>
      <c r="Y555" s="7"/>
    </row>
    <row r="556" ht="13.55" customHeight="1">
      <c r="A556" s="79"/>
      <c r="B556" s="35"/>
      <c r="C556" s="35"/>
      <c r="D556" s="35"/>
      <c r="E556" s="35"/>
      <c r="F556" s="35"/>
      <c r="G556" s="35"/>
      <c r="H556" s="35"/>
      <c r="I556" s="35"/>
      <c r="J556" s="35"/>
      <c r="K556" s="35"/>
      <c r="L556" s="35"/>
      <c r="M556" s="35"/>
      <c r="N556" s="35"/>
      <c r="O556" s="35"/>
      <c r="P556" s="35"/>
      <c r="Q556" s="35"/>
      <c r="R556" s="35"/>
      <c r="S556" s="35"/>
      <c r="T556" s="35"/>
      <c r="U556" s="35"/>
      <c r="V556" s="126"/>
      <c r="W556" s="127"/>
      <c r="X556" s="128"/>
      <c r="Y556" s="7"/>
    </row>
    <row r="557" ht="13.55" customHeight="1">
      <c r="A557" s="79"/>
      <c r="B557" s="35"/>
      <c r="C557" s="35"/>
      <c r="D557" s="35"/>
      <c r="E557" s="35"/>
      <c r="F557" s="35"/>
      <c r="G557" s="35"/>
      <c r="H557" s="35"/>
      <c r="I557" s="35"/>
      <c r="J557" s="35"/>
      <c r="K557" s="35"/>
      <c r="L557" s="35"/>
      <c r="M557" s="35"/>
      <c r="N557" s="35"/>
      <c r="O557" s="35"/>
      <c r="P557" s="35"/>
      <c r="Q557" s="35"/>
      <c r="R557" s="35"/>
      <c r="S557" s="35"/>
      <c r="T557" s="35"/>
      <c r="U557" s="35"/>
      <c r="V557" s="126"/>
      <c r="W557" s="127"/>
      <c r="X557" s="128"/>
      <c r="Y557" s="7"/>
    </row>
    <row r="558" ht="13.55" customHeight="1">
      <c r="A558" s="79"/>
      <c r="B558" s="35"/>
      <c r="C558" s="35"/>
      <c r="D558" s="35"/>
      <c r="E558" s="35"/>
      <c r="F558" s="35"/>
      <c r="G558" s="35"/>
      <c r="H558" s="35"/>
      <c r="I558" s="35"/>
      <c r="J558" s="35"/>
      <c r="K558" s="35"/>
      <c r="L558" s="35"/>
      <c r="M558" s="35"/>
      <c r="N558" s="35"/>
      <c r="O558" s="35"/>
      <c r="P558" s="35"/>
      <c r="Q558" s="35"/>
      <c r="R558" s="35"/>
      <c r="S558" s="35"/>
      <c r="T558" s="35"/>
      <c r="U558" s="35"/>
      <c r="V558" s="126"/>
      <c r="W558" s="127"/>
      <c r="X558" s="128"/>
      <c r="Y558" s="7"/>
    </row>
    <row r="559" ht="13.55" customHeight="1">
      <c r="A559" s="79"/>
      <c r="B559" s="35"/>
      <c r="C559" s="35"/>
      <c r="D559" s="35"/>
      <c r="E559" s="35"/>
      <c r="F559" s="35"/>
      <c r="G559" s="35"/>
      <c r="H559" s="35"/>
      <c r="I559" s="35"/>
      <c r="J559" s="35"/>
      <c r="K559" s="35"/>
      <c r="L559" s="35"/>
      <c r="M559" s="35"/>
      <c r="N559" s="35"/>
      <c r="O559" s="35"/>
      <c r="P559" s="35"/>
      <c r="Q559" s="35"/>
      <c r="R559" s="35"/>
      <c r="S559" s="35"/>
      <c r="T559" s="35"/>
      <c r="U559" s="35"/>
      <c r="V559" s="126"/>
      <c r="W559" s="127"/>
      <c r="X559" s="128"/>
      <c r="Y559" s="7"/>
    </row>
    <row r="560" ht="13.55" customHeight="1">
      <c r="A560" s="79"/>
      <c r="B560" s="35"/>
      <c r="C560" s="35"/>
      <c r="D560" s="35"/>
      <c r="E560" s="35"/>
      <c r="F560" s="35"/>
      <c r="G560" s="35"/>
      <c r="H560" s="35"/>
      <c r="I560" s="35"/>
      <c r="J560" s="35"/>
      <c r="K560" s="35"/>
      <c r="L560" s="35"/>
      <c r="M560" s="35"/>
      <c r="N560" s="35"/>
      <c r="O560" s="35"/>
      <c r="P560" s="35"/>
      <c r="Q560" s="35"/>
      <c r="R560" s="35"/>
      <c r="S560" s="35"/>
      <c r="T560" s="35"/>
      <c r="U560" s="35"/>
      <c r="V560" s="126"/>
      <c r="W560" s="127"/>
      <c r="X560" s="128"/>
      <c r="Y560" s="7"/>
    </row>
    <row r="561" ht="13.55" customHeight="1">
      <c r="A561" s="79"/>
      <c r="B561" s="35"/>
      <c r="C561" s="35"/>
      <c r="D561" s="35"/>
      <c r="E561" s="35"/>
      <c r="F561" s="35"/>
      <c r="G561" s="35"/>
      <c r="H561" s="35"/>
      <c r="I561" s="35"/>
      <c r="J561" s="35"/>
      <c r="K561" s="35"/>
      <c r="L561" s="35"/>
      <c r="M561" s="35"/>
      <c r="N561" s="35"/>
      <c r="O561" s="35"/>
      <c r="P561" s="35"/>
      <c r="Q561" s="35"/>
      <c r="R561" s="35"/>
      <c r="S561" s="35"/>
      <c r="T561" s="35"/>
      <c r="U561" s="35"/>
      <c r="V561" s="126"/>
      <c r="W561" s="127"/>
      <c r="X561" s="128"/>
      <c r="Y561" s="7"/>
    </row>
    <row r="562" ht="13.55" customHeight="1">
      <c r="A562" s="79"/>
      <c r="B562" s="35"/>
      <c r="C562" s="35"/>
      <c r="D562" s="35"/>
      <c r="E562" s="35"/>
      <c r="F562" s="35"/>
      <c r="G562" s="35"/>
      <c r="H562" s="35"/>
      <c r="I562" s="35"/>
      <c r="J562" s="35"/>
      <c r="K562" s="35"/>
      <c r="L562" s="35"/>
      <c r="M562" s="35"/>
      <c r="N562" s="35"/>
      <c r="O562" s="35"/>
      <c r="P562" s="35"/>
      <c r="Q562" s="35"/>
      <c r="R562" s="35"/>
      <c r="S562" s="35"/>
      <c r="T562" s="35"/>
      <c r="U562" s="35"/>
      <c r="V562" s="126"/>
      <c r="W562" s="127"/>
      <c r="X562" s="128"/>
      <c r="Y562" s="7"/>
    </row>
    <row r="563" ht="13.55" customHeight="1">
      <c r="A563" s="79"/>
      <c r="B563" s="35"/>
      <c r="C563" s="35"/>
      <c r="D563" s="35"/>
      <c r="E563" s="35"/>
      <c r="F563" s="35"/>
      <c r="G563" s="35"/>
      <c r="H563" s="35"/>
      <c r="I563" s="35"/>
      <c r="J563" s="35"/>
      <c r="K563" s="35"/>
      <c r="L563" s="35"/>
      <c r="M563" s="35"/>
      <c r="N563" s="35"/>
      <c r="O563" s="35"/>
      <c r="P563" s="35"/>
      <c r="Q563" s="35"/>
      <c r="R563" s="35"/>
      <c r="S563" s="35"/>
      <c r="T563" s="35"/>
      <c r="U563" s="35"/>
      <c r="V563" s="126"/>
      <c r="W563" s="127"/>
      <c r="X563" s="128"/>
      <c r="Y563" s="7"/>
    </row>
    <row r="564" ht="13.55" customHeight="1">
      <c r="A564" s="79"/>
      <c r="B564" s="35"/>
      <c r="C564" s="35"/>
      <c r="D564" s="35"/>
      <c r="E564" s="35"/>
      <c r="F564" s="35"/>
      <c r="G564" s="35"/>
      <c r="H564" s="35"/>
      <c r="I564" s="35"/>
      <c r="J564" s="35"/>
      <c r="K564" s="35"/>
      <c r="L564" s="35"/>
      <c r="M564" s="35"/>
      <c r="N564" s="35"/>
      <c r="O564" s="35"/>
      <c r="P564" s="35"/>
      <c r="Q564" s="35"/>
      <c r="R564" s="35"/>
      <c r="S564" s="35"/>
      <c r="T564" s="35"/>
      <c r="U564" s="35"/>
      <c r="V564" s="126"/>
      <c r="W564" s="127"/>
      <c r="X564" s="128"/>
      <c r="Y564" s="7"/>
    </row>
    <row r="565" ht="13.55" customHeight="1">
      <c r="A565" s="79"/>
      <c r="B565" s="35"/>
      <c r="C565" s="35"/>
      <c r="D565" s="35"/>
      <c r="E565" s="35"/>
      <c r="F565" s="35"/>
      <c r="G565" s="35"/>
      <c r="H565" s="35"/>
      <c r="I565" s="35"/>
      <c r="J565" s="35"/>
      <c r="K565" s="35"/>
      <c r="L565" s="35"/>
      <c r="M565" s="35"/>
      <c r="N565" s="35"/>
      <c r="O565" s="35"/>
      <c r="P565" s="35"/>
      <c r="Q565" s="35"/>
      <c r="R565" s="35"/>
      <c r="S565" s="35"/>
      <c r="T565" s="35"/>
      <c r="U565" s="35"/>
      <c r="V565" s="126"/>
      <c r="W565" s="127"/>
      <c r="X565" s="128"/>
      <c r="Y565" s="7"/>
    </row>
    <row r="566" ht="13.55" customHeight="1">
      <c r="A566" s="79"/>
      <c r="B566" s="35"/>
      <c r="C566" s="35"/>
      <c r="D566" s="35"/>
      <c r="E566" s="35"/>
      <c r="F566" s="35"/>
      <c r="G566" s="35"/>
      <c r="H566" s="35"/>
      <c r="I566" s="35"/>
      <c r="J566" s="35"/>
      <c r="K566" s="35"/>
      <c r="L566" s="35"/>
      <c r="M566" s="35"/>
      <c r="N566" s="35"/>
      <c r="O566" s="35"/>
      <c r="P566" s="35"/>
      <c r="Q566" s="35"/>
      <c r="R566" s="35"/>
      <c r="S566" s="35"/>
      <c r="T566" s="35"/>
      <c r="U566" s="35"/>
      <c r="V566" s="126"/>
      <c r="W566" s="127"/>
      <c r="X566" s="128"/>
      <c r="Y566" s="7"/>
    </row>
    <row r="567" ht="13.55" customHeight="1">
      <c r="A567" s="79"/>
      <c r="B567" s="35"/>
      <c r="C567" s="35"/>
      <c r="D567" s="35"/>
      <c r="E567" s="35"/>
      <c r="F567" s="35"/>
      <c r="G567" s="35"/>
      <c r="H567" s="35"/>
      <c r="I567" s="35"/>
      <c r="J567" s="35"/>
      <c r="K567" s="35"/>
      <c r="L567" s="35"/>
      <c r="M567" s="35"/>
      <c r="N567" s="35"/>
      <c r="O567" s="35"/>
      <c r="P567" s="35"/>
      <c r="Q567" s="35"/>
      <c r="R567" s="35"/>
      <c r="S567" s="35"/>
      <c r="T567" s="35"/>
      <c r="U567" s="35"/>
      <c r="V567" s="126"/>
      <c r="W567" s="127"/>
      <c r="X567" s="128"/>
      <c r="Y567" s="7"/>
    </row>
    <row r="568" ht="13.55" customHeight="1">
      <c r="A568" s="79"/>
      <c r="B568" s="35"/>
      <c r="C568" s="35"/>
      <c r="D568" s="35"/>
      <c r="E568" s="35"/>
      <c r="F568" s="35"/>
      <c r="G568" s="35"/>
      <c r="H568" s="35"/>
      <c r="I568" s="35"/>
      <c r="J568" s="35"/>
      <c r="K568" s="35"/>
      <c r="L568" s="35"/>
      <c r="M568" s="35"/>
      <c r="N568" s="35"/>
      <c r="O568" s="35"/>
      <c r="P568" s="35"/>
      <c r="Q568" s="35"/>
      <c r="R568" s="35"/>
      <c r="S568" s="35"/>
      <c r="T568" s="35"/>
      <c r="U568" s="35"/>
      <c r="V568" s="126"/>
      <c r="W568" s="127"/>
      <c r="X568" s="128"/>
      <c r="Y568" s="7"/>
    </row>
    <row r="569" ht="13.55" customHeight="1">
      <c r="A569" s="79"/>
      <c r="B569" s="35"/>
      <c r="C569" s="35"/>
      <c r="D569" s="35"/>
      <c r="E569" s="35"/>
      <c r="F569" s="35"/>
      <c r="G569" s="35"/>
      <c r="H569" s="35"/>
      <c r="I569" s="35"/>
      <c r="J569" s="35"/>
      <c r="K569" s="35"/>
      <c r="L569" s="35"/>
      <c r="M569" s="35"/>
      <c r="N569" s="35"/>
      <c r="O569" s="35"/>
      <c r="P569" s="35"/>
      <c r="Q569" s="35"/>
      <c r="R569" s="35"/>
      <c r="S569" s="35"/>
      <c r="T569" s="35"/>
      <c r="U569" s="35"/>
      <c r="V569" s="126"/>
      <c r="W569" s="127"/>
      <c r="X569" s="128"/>
      <c r="Y569" s="7"/>
    </row>
    <row r="570" ht="13.55" customHeight="1">
      <c r="A570" s="79"/>
      <c r="B570" s="35"/>
      <c r="C570" s="35"/>
      <c r="D570" s="35"/>
      <c r="E570" s="35"/>
      <c r="F570" s="35"/>
      <c r="G570" s="35"/>
      <c r="H570" s="35"/>
      <c r="I570" s="35"/>
      <c r="J570" s="35"/>
      <c r="K570" s="35"/>
      <c r="L570" s="35"/>
      <c r="M570" s="35"/>
      <c r="N570" s="35"/>
      <c r="O570" s="35"/>
      <c r="P570" s="35"/>
      <c r="Q570" s="35"/>
      <c r="R570" s="35"/>
      <c r="S570" s="35"/>
      <c r="T570" s="35"/>
      <c r="U570" s="35"/>
      <c r="V570" s="126"/>
      <c r="W570" s="127"/>
      <c r="X570" s="128"/>
      <c r="Y570" s="7"/>
    </row>
    <row r="571" ht="13.55" customHeight="1">
      <c r="A571" s="79"/>
      <c r="B571" s="35"/>
      <c r="C571" s="35"/>
      <c r="D571" s="35"/>
      <c r="E571" s="35"/>
      <c r="F571" s="35"/>
      <c r="G571" s="35"/>
      <c r="H571" s="35"/>
      <c r="I571" s="35"/>
      <c r="J571" s="35"/>
      <c r="K571" s="35"/>
      <c r="L571" s="35"/>
      <c r="M571" s="35"/>
      <c r="N571" s="35"/>
      <c r="O571" s="35"/>
      <c r="P571" s="35"/>
      <c r="Q571" s="35"/>
      <c r="R571" s="35"/>
      <c r="S571" s="35"/>
      <c r="T571" s="35"/>
      <c r="U571" s="35"/>
      <c r="V571" s="126"/>
      <c r="W571" s="127"/>
      <c r="X571" s="128"/>
      <c r="Y571" s="7"/>
    </row>
    <row r="572" ht="13.55" customHeight="1">
      <c r="A572" s="79"/>
      <c r="B572" s="35"/>
      <c r="C572" s="35"/>
      <c r="D572" s="35"/>
      <c r="E572" s="35"/>
      <c r="F572" s="35"/>
      <c r="G572" s="35"/>
      <c r="H572" s="35"/>
      <c r="I572" s="35"/>
      <c r="J572" s="35"/>
      <c r="K572" s="35"/>
      <c r="L572" s="35"/>
      <c r="M572" s="35"/>
      <c r="N572" s="35"/>
      <c r="O572" s="35"/>
      <c r="P572" s="35"/>
      <c r="Q572" s="35"/>
      <c r="R572" s="35"/>
      <c r="S572" s="35"/>
      <c r="T572" s="35"/>
      <c r="U572" s="35"/>
      <c r="V572" s="126"/>
      <c r="W572" s="127"/>
      <c r="X572" s="128"/>
      <c r="Y572" s="7"/>
    </row>
    <row r="573" ht="13.55" customHeight="1">
      <c r="A573" s="79"/>
      <c r="B573" s="35"/>
      <c r="C573" s="35"/>
      <c r="D573" s="35"/>
      <c r="E573" s="35"/>
      <c r="F573" s="35"/>
      <c r="G573" s="35"/>
      <c r="H573" s="35"/>
      <c r="I573" s="35"/>
      <c r="J573" s="35"/>
      <c r="K573" s="35"/>
      <c r="L573" s="35"/>
      <c r="M573" s="35"/>
      <c r="N573" s="35"/>
      <c r="O573" s="35"/>
      <c r="P573" s="35"/>
      <c r="Q573" s="35"/>
      <c r="R573" s="35"/>
      <c r="S573" s="35"/>
      <c r="T573" s="35"/>
      <c r="U573" s="35"/>
      <c r="V573" s="126"/>
      <c r="W573" s="127"/>
      <c r="X573" s="128"/>
      <c r="Y573" s="7"/>
    </row>
    <row r="574" ht="13.55" customHeight="1">
      <c r="A574" s="79"/>
      <c r="B574" s="35"/>
      <c r="C574" s="35"/>
      <c r="D574" s="35"/>
      <c r="E574" s="35"/>
      <c r="F574" s="35"/>
      <c r="G574" s="35"/>
      <c r="H574" s="35"/>
      <c r="I574" s="35"/>
      <c r="J574" s="35"/>
      <c r="K574" s="35"/>
      <c r="L574" s="35"/>
      <c r="M574" s="35"/>
      <c r="N574" s="35"/>
      <c r="O574" s="35"/>
      <c r="P574" s="35"/>
      <c r="Q574" s="35"/>
      <c r="R574" s="35"/>
      <c r="S574" s="35"/>
      <c r="T574" s="35"/>
      <c r="U574" s="35"/>
      <c r="V574" s="126"/>
      <c r="W574" s="127"/>
      <c r="X574" s="128"/>
      <c r="Y574" s="7"/>
    </row>
    <row r="575" ht="13.55" customHeight="1">
      <c r="A575" s="79"/>
      <c r="B575" s="35"/>
      <c r="C575" s="35"/>
      <c r="D575" s="35"/>
      <c r="E575" s="35"/>
      <c r="F575" s="35"/>
      <c r="G575" s="35"/>
      <c r="H575" s="35"/>
      <c r="I575" s="35"/>
      <c r="J575" s="35"/>
      <c r="K575" s="35"/>
      <c r="L575" s="35"/>
      <c r="M575" s="35"/>
      <c r="N575" s="35"/>
      <c r="O575" s="35"/>
      <c r="P575" s="35"/>
      <c r="Q575" s="35"/>
      <c r="R575" s="35"/>
      <c r="S575" s="35"/>
      <c r="T575" s="35"/>
      <c r="U575" s="35"/>
      <c r="V575" s="126"/>
      <c r="W575" s="127"/>
      <c r="X575" s="128"/>
      <c r="Y575" s="7"/>
    </row>
    <row r="576" ht="13.55" customHeight="1">
      <c r="A576" s="79"/>
      <c r="B576" s="35"/>
      <c r="C576" s="35"/>
      <c r="D576" s="35"/>
      <c r="E576" s="35"/>
      <c r="F576" s="35"/>
      <c r="G576" s="35"/>
      <c r="H576" s="35"/>
      <c r="I576" s="35"/>
      <c r="J576" s="35"/>
      <c r="K576" s="35"/>
      <c r="L576" s="35"/>
      <c r="M576" s="35"/>
      <c r="N576" s="35"/>
      <c r="O576" s="35"/>
      <c r="P576" s="35"/>
      <c r="Q576" s="35"/>
      <c r="R576" s="35"/>
      <c r="S576" s="35"/>
      <c r="T576" s="35"/>
      <c r="U576" s="35"/>
      <c r="V576" s="126"/>
      <c r="W576" s="127"/>
      <c r="X576" s="128"/>
      <c r="Y576" s="7"/>
    </row>
    <row r="577" ht="13.55" customHeight="1">
      <c r="A577" s="79"/>
      <c r="B577" s="35"/>
      <c r="C577" s="35"/>
      <c r="D577" s="35"/>
      <c r="E577" s="35"/>
      <c r="F577" s="35"/>
      <c r="G577" s="35"/>
      <c r="H577" s="35"/>
      <c r="I577" s="35"/>
      <c r="J577" s="35"/>
      <c r="K577" s="35"/>
      <c r="L577" s="35"/>
      <c r="M577" s="35"/>
      <c r="N577" s="35"/>
      <c r="O577" s="35"/>
      <c r="P577" s="35"/>
      <c r="Q577" s="35"/>
      <c r="R577" s="35"/>
      <c r="S577" s="35"/>
      <c r="T577" s="35"/>
      <c r="U577" s="35"/>
      <c r="V577" s="126"/>
      <c r="W577" s="127"/>
      <c r="X577" s="128"/>
      <c r="Y577" s="7"/>
    </row>
    <row r="578" ht="13.55" customHeight="1">
      <c r="A578" s="79"/>
      <c r="B578" s="35"/>
      <c r="C578" s="35"/>
      <c r="D578" s="35"/>
      <c r="E578" s="35"/>
      <c r="F578" s="35"/>
      <c r="G578" s="35"/>
      <c r="H578" s="35"/>
      <c r="I578" s="35"/>
      <c r="J578" s="35"/>
      <c r="K578" s="35"/>
      <c r="L578" s="35"/>
      <c r="M578" s="35"/>
      <c r="N578" s="35"/>
      <c r="O578" s="35"/>
      <c r="P578" s="35"/>
      <c r="Q578" s="35"/>
      <c r="R578" s="35"/>
      <c r="S578" s="35"/>
      <c r="T578" s="35"/>
      <c r="U578" s="35"/>
      <c r="V578" s="126"/>
      <c r="W578" s="127"/>
      <c r="X578" s="128"/>
      <c r="Y578" s="7"/>
    </row>
    <row r="579" ht="13.55" customHeight="1">
      <c r="A579" s="79"/>
      <c r="B579" s="35"/>
      <c r="C579" s="35"/>
      <c r="D579" s="35"/>
      <c r="E579" s="35"/>
      <c r="F579" s="35"/>
      <c r="G579" s="35"/>
      <c r="H579" s="35"/>
      <c r="I579" s="35"/>
      <c r="J579" s="35"/>
      <c r="K579" s="35"/>
      <c r="L579" s="35"/>
      <c r="M579" s="35"/>
      <c r="N579" s="35"/>
      <c r="O579" s="35"/>
      <c r="P579" s="35"/>
      <c r="Q579" s="35"/>
      <c r="R579" s="35"/>
      <c r="S579" s="35"/>
      <c r="T579" s="35"/>
      <c r="U579" s="35"/>
      <c r="V579" s="126"/>
      <c r="W579" s="127"/>
      <c r="X579" s="128"/>
      <c r="Y579" s="7"/>
    </row>
    <row r="580" ht="13.55" customHeight="1">
      <c r="A580" s="79"/>
      <c r="B580" s="35"/>
      <c r="C580" s="35"/>
      <c r="D580" s="35"/>
      <c r="E580" s="35"/>
      <c r="F580" s="35"/>
      <c r="G580" s="35"/>
      <c r="H580" s="35"/>
      <c r="I580" s="35"/>
      <c r="J580" s="35"/>
      <c r="K580" s="35"/>
      <c r="L580" s="35"/>
      <c r="M580" s="35"/>
      <c r="N580" s="35"/>
      <c r="O580" s="35"/>
      <c r="P580" s="35"/>
      <c r="Q580" s="35"/>
      <c r="R580" s="35"/>
      <c r="S580" s="35"/>
      <c r="T580" s="35"/>
      <c r="U580" s="35"/>
      <c r="V580" s="126"/>
      <c r="W580" s="127"/>
      <c r="X580" s="128"/>
      <c r="Y580" s="7"/>
    </row>
    <row r="581" ht="13.55" customHeight="1">
      <c r="A581" s="79"/>
      <c r="B581" s="35"/>
      <c r="C581" s="35"/>
      <c r="D581" s="35"/>
      <c r="E581" s="35"/>
      <c r="F581" s="35"/>
      <c r="G581" s="35"/>
      <c r="H581" s="35"/>
      <c r="I581" s="35"/>
      <c r="J581" s="35"/>
      <c r="K581" s="35"/>
      <c r="L581" s="35"/>
      <c r="M581" s="35"/>
      <c r="N581" s="35"/>
      <c r="O581" s="35"/>
      <c r="P581" s="35"/>
      <c r="Q581" s="35"/>
      <c r="R581" s="35"/>
      <c r="S581" s="35"/>
      <c r="T581" s="35"/>
      <c r="U581" s="35"/>
      <c r="V581" s="126"/>
      <c r="W581" s="127"/>
      <c r="X581" s="128"/>
      <c r="Y581" s="7"/>
    </row>
    <row r="582" ht="13.55" customHeight="1">
      <c r="A582" s="79"/>
      <c r="B582" s="35"/>
      <c r="C582" s="35"/>
      <c r="D582" s="35"/>
      <c r="E582" s="35"/>
      <c r="F582" s="35"/>
      <c r="G582" s="35"/>
      <c r="H582" s="35"/>
      <c r="I582" s="35"/>
      <c r="J582" s="35"/>
      <c r="K582" s="35"/>
      <c r="L582" s="35"/>
      <c r="M582" s="35"/>
      <c r="N582" s="35"/>
      <c r="O582" s="35"/>
      <c r="P582" s="35"/>
      <c r="Q582" s="35"/>
      <c r="R582" s="35"/>
      <c r="S582" s="35"/>
      <c r="T582" s="35"/>
      <c r="U582" s="35"/>
      <c r="V582" s="126"/>
      <c r="W582" s="127"/>
      <c r="X582" s="128"/>
      <c r="Y582" s="7"/>
    </row>
    <row r="583" ht="13.55" customHeight="1">
      <c r="A583" s="79"/>
      <c r="B583" s="35"/>
      <c r="C583" s="35"/>
      <c r="D583" s="35"/>
      <c r="E583" s="35"/>
      <c r="F583" s="35"/>
      <c r="G583" s="35"/>
      <c r="H583" s="35"/>
      <c r="I583" s="35"/>
      <c r="J583" s="35"/>
      <c r="K583" s="35"/>
      <c r="L583" s="35"/>
      <c r="M583" s="35"/>
      <c r="N583" s="35"/>
      <c r="O583" s="35"/>
      <c r="P583" s="35"/>
      <c r="Q583" s="35"/>
      <c r="R583" s="35"/>
      <c r="S583" s="35"/>
      <c r="T583" s="35"/>
      <c r="U583" s="35"/>
      <c r="V583" s="126"/>
      <c r="W583" s="127"/>
      <c r="X583" s="128"/>
      <c r="Y583" s="7"/>
    </row>
    <row r="584" ht="13.55" customHeight="1">
      <c r="A584" s="79"/>
      <c r="B584" s="35"/>
      <c r="C584" s="35"/>
      <c r="D584" s="35"/>
      <c r="E584" s="35"/>
      <c r="F584" s="35"/>
      <c r="G584" s="35"/>
      <c r="H584" s="35"/>
      <c r="I584" s="35"/>
      <c r="J584" s="35"/>
      <c r="K584" s="35"/>
      <c r="L584" s="35"/>
      <c r="M584" s="35"/>
      <c r="N584" s="35"/>
      <c r="O584" s="35"/>
      <c r="P584" s="35"/>
      <c r="Q584" s="35"/>
      <c r="R584" s="35"/>
      <c r="S584" s="35"/>
      <c r="T584" s="35"/>
      <c r="U584" s="35"/>
      <c r="V584" s="126"/>
      <c r="W584" s="127"/>
      <c r="X584" s="128"/>
      <c r="Y584"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59"/>
  <sheetViews>
    <sheetView workbookViewId="0" showGridLines="0" defaultGridColor="1"/>
  </sheetViews>
  <sheetFormatPr defaultColWidth="10.8333" defaultRowHeight="15" customHeight="1" outlineLevelRow="0" outlineLevelCol="0"/>
  <cols>
    <col min="1" max="3" width="10.8516" style="145" customWidth="1"/>
    <col min="4" max="4" width="29.6719" style="145" customWidth="1"/>
    <col min="5" max="5" width="34.6719" style="145" customWidth="1"/>
    <col min="6" max="6" width="14.5" style="145" customWidth="1"/>
    <col min="7" max="7" width="10.8516" style="145" customWidth="1"/>
    <col min="8" max="8" width="14" style="145" customWidth="1"/>
    <col min="9" max="9" width="18.5" style="145" customWidth="1"/>
    <col min="10" max="16384" width="10.8516" style="145" customWidth="1"/>
  </cols>
  <sheetData>
    <row r="1" ht="20.25" customHeight="1">
      <c r="A1" s="108"/>
      <c r="B1" t="s" s="82">
        <v>8</v>
      </c>
      <c r="C1" s="108"/>
      <c r="D1" t="s" s="83">
        <v>49</v>
      </c>
      <c r="E1" s="84"/>
      <c r="F1" s="84"/>
      <c r="G1" s="84"/>
      <c r="H1" s="85"/>
      <c r="I1" s="146"/>
    </row>
    <row r="2" ht="15" customHeight="1">
      <c r="A2" s="87"/>
      <c r="B2" s="87"/>
      <c r="C2" s="87"/>
      <c r="D2" s="88"/>
      <c r="E2" s="88"/>
      <c r="F2" s="88"/>
      <c r="G2" s="113"/>
      <c r="H2" s="88"/>
      <c r="I2" s="147"/>
    </row>
    <row r="3" ht="16.5" customHeight="1">
      <c r="A3" s="89"/>
      <c r="B3" s="89"/>
      <c r="C3" s="89"/>
      <c r="D3" t="s" s="90">
        <v>51</v>
      </c>
      <c r="E3" t="s" s="90">
        <v>52</v>
      </c>
      <c r="F3" s="89"/>
      <c r="G3" t="s" s="90">
        <v>53</v>
      </c>
      <c r="H3" t="s" s="90">
        <v>53</v>
      </c>
      <c r="I3" t="s" s="148">
        <v>53</v>
      </c>
    </row>
    <row r="4" ht="33" customHeight="1">
      <c r="A4" t="s" s="90">
        <v>79</v>
      </c>
      <c r="B4" t="s" s="90">
        <v>54</v>
      </c>
      <c r="C4" t="s" s="90">
        <v>364</v>
      </c>
      <c r="D4" s="89"/>
      <c r="E4" t="s" s="90">
        <v>55</v>
      </c>
      <c r="F4" t="s" s="90">
        <v>8</v>
      </c>
      <c r="G4" t="s" s="90">
        <v>109</v>
      </c>
      <c r="H4" t="s" s="90">
        <v>365</v>
      </c>
      <c r="I4" t="s" s="148">
        <v>366</v>
      </c>
    </row>
    <row r="5" ht="16.5" customHeight="1">
      <c r="A5" s="149"/>
      <c r="B5" t="s" s="94">
        <v>58</v>
      </c>
      <c r="C5" s="149"/>
      <c r="D5" t="s" s="95">
        <v>8</v>
      </c>
      <c r="E5" s="89"/>
      <c r="F5" t="s" s="96">
        <v>59</v>
      </c>
      <c r="G5" s="97"/>
      <c r="H5" t="s" s="90">
        <v>8</v>
      </c>
      <c r="I5" s="147">
        <v>1069332.54</v>
      </c>
    </row>
    <row r="6" ht="13.55" customHeight="1">
      <c r="A6" s="112">
        <v>45661</v>
      </c>
      <c r="B6" s="98">
        <v>1554</v>
      </c>
      <c r="C6" t="s" s="19">
        <v>367</v>
      </c>
      <c r="D6" t="s" s="80">
        <v>60</v>
      </c>
      <c r="E6" t="s" s="80">
        <v>61</v>
      </c>
      <c r="F6" s="99">
        <v>500</v>
      </c>
      <c r="G6" s="34"/>
      <c r="H6" s="35"/>
      <c r="I6" s="147" cm="1">
        <f t="array" ref="I6">I5+F6</f>
        <v>1069832.54</v>
      </c>
    </row>
    <row r="7" ht="13.55" customHeight="1">
      <c r="A7" s="112">
        <v>45662</v>
      </c>
      <c r="B7" s="98"/>
      <c r="C7" t="s" s="19">
        <v>367</v>
      </c>
      <c r="D7" t="s" s="80">
        <v>60</v>
      </c>
      <c r="E7" t="s" s="80">
        <v>62</v>
      </c>
      <c r="F7" s="34">
        <v>500</v>
      </c>
      <c r="G7" s="34"/>
      <c r="H7" s="35"/>
      <c r="I7" s="147" cm="1">
        <f t="array" ref="I7">I6+F7</f>
        <v>1070332.54</v>
      </c>
    </row>
    <row r="8" ht="13.55" customHeight="1">
      <c r="A8" s="112">
        <v>45667</v>
      </c>
      <c r="B8" s="100"/>
      <c r="C8" t="s" s="19">
        <v>367</v>
      </c>
      <c r="D8" t="s" s="80">
        <v>60</v>
      </c>
      <c r="E8" t="s" s="80">
        <v>63</v>
      </c>
      <c r="F8" s="34">
        <v>500</v>
      </c>
      <c r="G8" s="34"/>
      <c r="H8" s="35"/>
      <c r="I8" s="147" cm="1">
        <f t="array" ref="I8">I7+F8</f>
        <v>1070832.54</v>
      </c>
    </row>
    <row r="9" ht="13.55" customHeight="1">
      <c r="A9" s="112">
        <v>45668</v>
      </c>
      <c r="B9" s="98">
        <v>1557</v>
      </c>
      <c r="C9" t="s" s="19">
        <v>367</v>
      </c>
      <c r="D9" t="s" s="80">
        <v>60</v>
      </c>
      <c r="E9" t="s" s="80">
        <v>64</v>
      </c>
      <c r="F9" s="99">
        <v>200</v>
      </c>
      <c r="G9" s="34"/>
      <c r="H9" s="35"/>
      <c r="I9" s="147" cm="1">
        <f t="array" ref="I9">I8+F9</f>
        <v>1071032.54</v>
      </c>
    </row>
    <row r="10" ht="13.55" customHeight="1">
      <c r="A10" s="112">
        <v>45669</v>
      </c>
      <c r="B10" s="98"/>
      <c r="C10" t="s" s="19">
        <v>367</v>
      </c>
      <c r="D10" t="s" s="80">
        <v>60</v>
      </c>
      <c r="E10" t="s" s="80">
        <v>65</v>
      </c>
      <c r="F10" s="34"/>
      <c r="G10" s="34">
        <v>500</v>
      </c>
      <c r="H10" s="35"/>
      <c r="I10" s="147" cm="1">
        <f t="array" ref="I10">I9+G10</f>
        <v>1071532.54</v>
      </c>
    </row>
    <row r="11" ht="13.55" customHeight="1">
      <c r="A11" s="112">
        <v>45674</v>
      </c>
      <c r="B11" s="100"/>
      <c r="C11" t="s" s="19">
        <v>367</v>
      </c>
      <c r="D11" t="s" s="80">
        <v>60</v>
      </c>
      <c r="E11" t="s" s="80">
        <v>66</v>
      </c>
      <c r="F11" s="34"/>
      <c r="G11" s="34">
        <v>500</v>
      </c>
      <c r="H11" s="35"/>
      <c r="I11" s="147" cm="1">
        <f t="array" ref="I11">I10+G11</f>
        <v>1072032.54</v>
      </c>
    </row>
    <row r="12" ht="13.55" customHeight="1">
      <c r="A12" s="112">
        <v>45674</v>
      </c>
      <c r="B12" s="100"/>
      <c r="C12" t="s" s="19">
        <v>367</v>
      </c>
      <c r="D12" t="s" s="80">
        <v>60</v>
      </c>
      <c r="E12" t="s" s="80">
        <v>67</v>
      </c>
      <c r="F12" s="34"/>
      <c r="G12" s="34">
        <v>5250</v>
      </c>
      <c r="H12" s="35"/>
      <c r="I12" s="147" cm="1">
        <f t="array" ref="I12">I11+G12</f>
        <v>1077282.54</v>
      </c>
    </row>
    <row r="13" ht="13.55" customHeight="1">
      <c r="A13" s="112">
        <v>45674</v>
      </c>
      <c r="B13" s="98">
        <v>1553</v>
      </c>
      <c r="C13" t="s" s="19">
        <v>367</v>
      </c>
      <c r="D13" t="s" s="80">
        <v>60</v>
      </c>
      <c r="E13" t="s" s="80">
        <v>68</v>
      </c>
      <c r="F13" s="99">
        <v>500</v>
      </c>
      <c r="G13" s="34"/>
      <c r="H13" s="35"/>
      <c r="I13" s="147" cm="1">
        <f t="array" ref="I13">I12+F13</f>
        <v>1077782.54</v>
      </c>
    </row>
    <row r="14" ht="13.55" customHeight="1">
      <c r="A14" s="112">
        <v>45674</v>
      </c>
      <c r="B14" s="100"/>
      <c r="C14" t="s" s="19">
        <v>367</v>
      </c>
      <c r="D14" t="s" s="80">
        <v>60</v>
      </c>
      <c r="E14" t="s" s="80">
        <v>69</v>
      </c>
      <c r="F14" s="34">
        <v>107300</v>
      </c>
      <c r="G14" s="34"/>
      <c r="H14" s="35"/>
      <c r="I14" s="147" cm="1">
        <f t="array" ref="I14">I13+F14</f>
        <v>1185082.54</v>
      </c>
    </row>
    <row r="15" ht="13.55" customHeight="1">
      <c r="A15" s="112">
        <v>45674</v>
      </c>
      <c r="B15" s="100"/>
      <c r="C15" t="s" s="19">
        <v>367</v>
      </c>
      <c r="D15" t="s" s="80">
        <v>60</v>
      </c>
      <c r="E15" t="s" s="80">
        <v>69</v>
      </c>
      <c r="F15" s="34">
        <v>28450</v>
      </c>
      <c r="G15" s="34"/>
      <c r="H15" s="35"/>
      <c r="I15" s="147" cm="1">
        <f t="array" ref="I15">I14+F15</f>
        <v>1213532.54</v>
      </c>
    </row>
    <row r="16" ht="13.55" customHeight="1">
      <c r="A16" s="112">
        <v>45674</v>
      </c>
      <c r="B16" s="98"/>
      <c r="C16" t="s" s="19">
        <v>367</v>
      </c>
      <c r="D16" t="s" s="80">
        <v>60</v>
      </c>
      <c r="E16" t="s" s="80">
        <v>69</v>
      </c>
      <c r="F16" s="34">
        <v>28250</v>
      </c>
      <c r="G16" s="34"/>
      <c r="H16" s="35"/>
      <c r="I16" s="147" cm="1">
        <f t="array" ref="I16">I15+F16</f>
        <v>1241782.54</v>
      </c>
    </row>
    <row r="17" ht="13.55" customHeight="1">
      <c r="A17" s="112">
        <v>45676</v>
      </c>
      <c r="B17" s="98"/>
      <c r="C17" t="s" s="19">
        <v>367</v>
      </c>
      <c r="D17" t="s" s="80">
        <v>60</v>
      </c>
      <c r="E17" t="s" s="80">
        <v>70</v>
      </c>
      <c r="F17" s="34">
        <v>0.05</v>
      </c>
      <c r="G17" s="34"/>
      <c r="H17" s="35"/>
      <c r="I17" s="147" cm="1">
        <f t="array" ref="I17">I16+F17</f>
        <v>1241782.59</v>
      </c>
    </row>
    <row r="18" ht="13.55" customHeight="1">
      <c r="A18" s="112">
        <v>45676</v>
      </c>
      <c r="B18" s="98">
        <v>1552</v>
      </c>
      <c r="C18" t="s" s="19">
        <v>367</v>
      </c>
      <c r="D18" t="s" s="80">
        <v>60</v>
      </c>
      <c r="E18" t="s" s="80">
        <v>71</v>
      </c>
      <c r="F18" s="99">
        <v>500</v>
      </c>
      <c r="G18" s="34"/>
      <c r="H18" s="35"/>
      <c r="I18" s="147" cm="1">
        <f t="array" ref="I18">I17+F18</f>
        <v>1242282.59</v>
      </c>
    </row>
    <row r="19" ht="13.55" customHeight="1">
      <c r="A19" s="112">
        <v>45676</v>
      </c>
      <c r="B19" s="98">
        <v>1551</v>
      </c>
      <c r="C19" t="s" s="19">
        <v>367</v>
      </c>
      <c r="D19" t="s" s="80">
        <v>60</v>
      </c>
      <c r="E19" t="s" s="80">
        <v>72</v>
      </c>
      <c r="F19" s="99">
        <v>1000</v>
      </c>
      <c r="G19" s="34"/>
      <c r="H19" s="35"/>
      <c r="I19" s="147" cm="1">
        <f t="array" ref="I19">I18+F19</f>
        <v>1243282.59</v>
      </c>
    </row>
    <row r="20" ht="13.55" customHeight="1">
      <c r="A20" s="112">
        <v>45676</v>
      </c>
      <c r="B20" s="98"/>
      <c r="C20" t="s" s="19">
        <v>367</v>
      </c>
      <c r="D20" t="s" s="80">
        <v>60</v>
      </c>
      <c r="E20" t="s" s="80">
        <v>69</v>
      </c>
      <c r="F20" s="34">
        <v>600</v>
      </c>
      <c r="G20" s="34"/>
      <c r="H20" s="35"/>
      <c r="I20" s="147" cm="1">
        <f t="array" ref="I20">I19+F20</f>
        <v>1243882.59</v>
      </c>
    </row>
    <row r="21" ht="13.55" customHeight="1">
      <c r="A21" s="112">
        <v>45676</v>
      </c>
      <c r="B21" s="98"/>
      <c r="C21" t="s" s="19">
        <v>367</v>
      </c>
      <c r="D21" t="s" s="80">
        <v>60</v>
      </c>
      <c r="E21" t="s" s="80">
        <v>73</v>
      </c>
      <c r="F21" t="s" s="80">
        <v>8</v>
      </c>
      <c r="G21" s="34">
        <v>1000</v>
      </c>
      <c r="H21" s="35"/>
      <c r="I21" s="147" cm="1">
        <f t="array" ref="I21">I20+G21</f>
        <v>1244882.59</v>
      </c>
    </row>
    <row r="22" ht="13.55" customHeight="1">
      <c r="A22" s="112">
        <v>45676</v>
      </c>
      <c r="B22" t="s" s="19">
        <v>8</v>
      </c>
      <c r="C22" t="s" s="19">
        <v>367</v>
      </c>
      <c r="D22" t="s" s="80">
        <v>60</v>
      </c>
      <c r="E22" t="s" s="80">
        <v>74</v>
      </c>
      <c r="F22" s="99">
        <v>500</v>
      </c>
      <c r="G22" t="s" s="80">
        <v>8</v>
      </c>
      <c r="H22" s="35"/>
      <c r="I22" s="147" cm="1">
        <f t="array" ref="I22">I21+F22</f>
        <v>1245382.59</v>
      </c>
    </row>
    <row r="23" ht="13.55" customHeight="1">
      <c r="A23" s="112">
        <v>45667</v>
      </c>
      <c r="B23" s="98"/>
      <c r="C23" t="s" s="19">
        <v>367</v>
      </c>
      <c r="D23" t="s" s="80">
        <v>60</v>
      </c>
      <c r="E23" t="s" s="80">
        <v>75</v>
      </c>
      <c r="F23" s="34"/>
      <c r="G23" s="34">
        <v>3000</v>
      </c>
      <c r="H23" s="35"/>
      <c r="I23" s="147" cm="1">
        <f t="array" ref="I23">I22+G23</f>
        <v>1248382.59</v>
      </c>
    </row>
    <row r="24" ht="13.55" customHeight="1">
      <c r="A24" s="101">
        <v>45667</v>
      </c>
      <c r="B24" s="98"/>
      <c r="C24" t="s" s="19">
        <v>367</v>
      </c>
      <c r="D24" t="s" s="80">
        <v>60</v>
      </c>
      <c r="E24" t="s" s="80">
        <v>64</v>
      </c>
      <c r="F24" s="34">
        <v>200</v>
      </c>
      <c r="G24" s="34"/>
      <c r="H24" s="35"/>
      <c r="I24" s="147" cm="1">
        <f t="array" ref="I24">I23+F24</f>
        <v>1248582.59</v>
      </c>
    </row>
    <row r="25" ht="13.55" customHeight="1">
      <c r="A25" s="101">
        <v>45671</v>
      </c>
      <c r="B25" s="101"/>
      <c r="C25" t="s" s="19">
        <v>367</v>
      </c>
      <c r="D25" t="s" s="80">
        <v>60</v>
      </c>
      <c r="E25" t="s" s="80">
        <v>76</v>
      </c>
      <c r="F25" s="34">
        <v>6000</v>
      </c>
      <c r="G25" s="34"/>
      <c r="H25" s="35"/>
      <c r="I25" s="147" cm="1">
        <f t="array" ref="I25">I24+F25</f>
        <v>1254582.59</v>
      </c>
    </row>
    <row r="26" ht="13.55" customHeight="1">
      <c r="A26" s="101">
        <v>45674</v>
      </c>
      <c r="B26" s="101"/>
      <c r="C26" t="s" s="19">
        <v>368</v>
      </c>
      <c r="D26" t="s" s="80">
        <v>369</v>
      </c>
      <c r="E26" t="s" s="80">
        <v>204</v>
      </c>
      <c r="F26" s="34"/>
      <c r="G26" s="34"/>
      <c r="H26" s="34">
        <v>25000</v>
      </c>
      <c r="I26" s="147" cm="1">
        <f t="array" ref="I26">I25-H26</f>
        <v>1229582.59</v>
      </c>
    </row>
    <row r="27" ht="13.55" customHeight="1">
      <c r="A27" s="101">
        <v>45674</v>
      </c>
      <c r="B27" s="101"/>
      <c r="C27" t="s" s="19">
        <v>368</v>
      </c>
      <c r="D27" t="s" s="80">
        <v>99</v>
      </c>
      <c r="E27" t="s" s="80">
        <v>370</v>
      </c>
      <c r="F27" s="34"/>
      <c r="G27" s="34"/>
      <c r="H27" s="34">
        <v>9.5</v>
      </c>
      <c r="I27" s="147" cm="1">
        <f t="array" ref="I27">I26-H27</f>
        <v>1229573.09</v>
      </c>
    </row>
    <row r="28" ht="13.55" customHeight="1">
      <c r="A28" s="101">
        <v>45674</v>
      </c>
      <c r="B28" s="101"/>
      <c r="C28" t="s" s="19">
        <v>368</v>
      </c>
      <c r="D28" t="s" s="80">
        <v>99</v>
      </c>
      <c r="E28" t="s" s="80">
        <v>206</v>
      </c>
      <c r="F28" s="34"/>
      <c r="G28" s="34"/>
      <c r="H28" s="34">
        <v>1.52</v>
      </c>
      <c r="I28" s="147" cm="1">
        <f t="array" ref="I28">I27-H28</f>
        <v>1229571.57</v>
      </c>
    </row>
    <row r="29" ht="13.55" customHeight="1">
      <c r="A29" s="101">
        <v>45674</v>
      </c>
      <c r="B29" s="101"/>
      <c r="C29" t="s" s="19">
        <v>368</v>
      </c>
      <c r="D29" t="s" s="80">
        <v>229</v>
      </c>
      <c r="E29" t="s" s="80">
        <v>230</v>
      </c>
      <c r="F29" s="34"/>
      <c r="G29" s="34"/>
      <c r="H29" s="34">
        <v>13173.14</v>
      </c>
      <c r="I29" s="147" cm="1">
        <f t="array" ref="I29">I28-H29</f>
        <v>1216398.43</v>
      </c>
    </row>
    <row r="30" ht="13.55" customHeight="1">
      <c r="A30" s="101">
        <v>45674</v>
      </c>
      <c r="B30" s="101"/>
      <c r="C30" t="s" s="19">
        <v>368</v>
      </c>
      <c r="D30" t="s" s="80">
        <v>99</v>
      </c>
      <c r="E30" t="s" s="80">
        <v>192</v>
      </c>
      <c r="F30" s="34"/>
      <c r="G30" s="34"/>
      <c r="H30" s="34">
        <v>700</v>
      </c>
      <c r="I30" s="147" cm="1">
        <f t="array" ref="I30">I29-H30</f>
        <v>1215698.43</v>
      </c>
    </row>
    <row r="31" ht="13.55" customHeight="1">
      <c r="A31" s="101">
        <v>45674</v>
      </c>
      <c r="B31" s="101"/>
      <c r="C31" t="s" s="19">
        <v>368</v>
      </c>
      <c r="D31" t="s" s="80">
        <v>99</v>
      </c>
      <c r="E31" t="s" s="80">
        <v>193</v>
      </c>
      <c r="F31" s="34"/>
      <c r="G31" s="34"/>
      <c r="H31" s="34">
        <v>700</v>
      </c>
      <c r="I31" s="147" cm="1">
        <f t="array" ref="I31">I30-H31</f>
        <v>1214998.43</v>
      </c>
    </row>
    <row r="32" ht="13.55" customHeight="1">
      <c r="A32" s="101">
        <v>45674</v>
      </c>
      <c r="B32" s="101"/>
      <c r="C32" t="s" s="19">
        <v>368</v>
      </c>
      <c r="D32" t="s" s="80">
        <v>99</v>
      </c>
      <c r="E32" t="s" s="80">
        <v>69</v>
      </c>
      <c r="F32" s="34"/>
      <c r="G32" s="34"/>
      <c r="H32" s="34">
        <v>2150.75</v>
      </c>
      <c r="I32" s="147" cm="1">
        <f t="array" ref="I32">I31-H32</f>
        <v>1212847.68</v>
      </c>
    </row>
    <row r="33" ht="13.55" customHeight="1">
      <c r="A33" s="101">
        <v>45674</v>
      </c>
      <c r="B33" s="101"/>
      <c r="C33" t="s" s="19">
        <v>368</v>
      </c>
      <c r="D33" t="s" s="80">
        <v>99</v>
      </c>
      <c r="E33" t="s" s="80">
        <v>194</v>
      </c>
      <c r="F33" s="34"/>
      <c r="G33" s="34"/>
      <c r="H33" s="34">
        <v>344.12</v>
      </c>
      <c r="I33" s="147" cm="1">
        <f t="array" ref="I33">I32-H33</f>
        <v>1212503.56</v>
      </c>
    </row>
    <row r="34" ht="13.55" customHeight="1">
      <c r="A34" s="112">
        <v>45674</v>
      </c>
      <c r="B34" s="101"/>
      <c r="C34" t="s" s="19">
        <v>368</v>
      </c>
      <c r="D34" t="s" s="80">
        <v>99</v>
      </c>
      <c r="E34" t="s" s="80">
        <v>69</v>
      </c>
      <c r="F34" s="34"/>
      <c r="G34" s="34"/>
      <c r="H34" s="34">
        <v>540.55</v>
      </c>
      <c r="I34" s="147" cm="1">
        <f t="array" ref="I34">I33-H34</f>
        <v>1211963.01</v>
      </c>
    </row>
    <row r="35" ht="13.55" customHeight="1">
      <c r="A35" s="112">
        <v>45674</v>
      </c>
      <c r="B35" s="101"/>
      <c r="C35" t="s" s="19">
        <v>368</v>
      </c>
      <c r="D35" t="s" s="80">
        <v>99</v>
      </c>
      <c r="E35" t="s" s="80">
        <v>194</v>
      </c>
      <c r="F35" s="34"/>
      <c r="G35" s="34"/>
      <c r="H35" s="34">
        <v>86.45999999999999</v>
      </c>
      <c r="I35" s="147" cm="1">
        <f t="array" ref="I35">I34-H35</f>
        <v>1211876.55</v>
      </c>
    </row>
    <row r="36" ht="13.55" customHeight="1">
      <c r="A36" s="112">
        <v>45676</v>
      </c>
      <c r="B36" s="101"/>
      <c r="C36" t="s" s="19">
        <v>368</v>
      </c>
      <c r="D36" t="s" s="80">
        <v>99</v>
      </c>
      <c r="E36" t="s" s="80">
        <v>69</v>
      </c>
      <c r="F36" s="34"/>
      <c r="G36" s="34"/>
      <c r="H36" s="34">
        <v>833.38</v>
      </c>
      <c r="I36" s="147" cm="1">
        <f t="array" ref="I36">I35-H36</f>
        <v>1211043.17</v>
      </c>
    </row>
    <row r="37" ht="13.55" customHeight="1">
      <c r="A37" s="112">
        <v>45676</v>
      </c>
      <c r="B37" s="101"/>
      <c r="C37" t="s" s="19">
        <v>368</v>
      </c>
      <c r="D37" t="s" s="80">
        <v>99</v>
      </c>
      <c r="E37" t="s" s="80">
        <v>194</v>
      </c>
      <c r="F37" s="34"/>
      <c r="G37" s="34"/>
      <c r="H37" s="34">
        <v>133.34</v>
      </c>
      <c r="I37" s="147" cm="1">
        <f t="array" ref="I37">I36-H37</f>
        <v>1210909.83</v>
      </c>
    </row>
    <row r="38" ht="13.55" customHeight="1">
      <c r="A38" s="112">
        <v>45676</v>
      </c>
      <c r="B38" s="101"/>
      <c r="C38" t="s" s="19">
        <v>368</v>
      </c>
      <c r="D38" t="s" s="80">
        <v>195</v>
      </c>
      <c r="E38" t="s" s="80">
        <v>196</v>
      </c>
      <c r="F38" s="34"/>
      <c r="G38" s="34"/>
      <c r="H38" s="34">
        <v>4570</v>
      </c>
      <c r="I38" s="147" cm="1">
        <f t="array" ref="I38">I37-H38</f>
        <v>1206339.83</v>
      </c>
    </row>
    <row r="39" ht="13.55" customHeight="1">
      <c r="A39" s="112">
        <v>45676</v>
      </c>
      <c r="B39" s="101"/>
      <c r="C39" t="s" s="19">
        <v>368</v>
      </c>
      <c r="D39" t="s" s="80">
        <v>197</v>
      </c>
      <c r="E39" t="s" s="80">
        <v>198</v>
      </c>
      <c r="F39" s="34"/>
      <c r="G39" s="34"/>
      <c r="H39" s="34">
        <v>14000.42</v>
      </c>
      <c r="I39" s="147" cm="1">
        <f t="array" ref="I39">I38-H39</f>
        <v>1192339.41</v>
      </c>
    </row>
    <row r="40" ht="13.55" customHeight="1">
      <c r="A40" s="112">
        <v>45676</v>
      </c>
      <c r="B40" s="101"/>
      <c r="C40" t="s" s="19">
        <v>368</v>
      </c>
      <c r="D40" t="s" s="80">
        <v>99</v>
      </c>
      <c r="E40" t="s" s="80">
        <v>199</v>
      </c>
      <c r="F40" s="34"/>
      <c r="G40" s="34"/>
      <c r="H40" s="34">
        <v>10</v>
      </c>
      <c r="I40" s="147" cm="1">
        <f t="array" ref="I40">I39-H40</f>
        <v>1192329.41</v>
      </c>
    </row>
    <row r="41" ht="13.55" customHeight="1">
      <c r="A41" s="112">
        <v>45676</v>
      </c>
      <c r="B41" s="101"/>
      <c r="C41" t="s" s="19">
        <v>368</v>
      </c>
      <c r="D41" t="s" s="80">
        <v>99</v>
      </c>
      <c r="E41" t="s" s="80">
        <v>200</v>
      </c>
      <c r="F41" s="34"/>
      <c r="G41" s="34"/>
      <c r="H41" s="34">
        <v>1.6</v>
      </c>
      <c r="I41" s="147" cm="1">
        <f t="array" ref="I41">I40-H41</f>
        <v>1192327.81</v>
      </c>
    </row>
    <row r="42" ht="13.55" customHeight="1">
      <c r="A42" s="112">
        <v>45677</v>
      </c>
      <c r="B42" s="101"/>
      <c r="C42" t="s" s="19">
        <v>368</v>
      </c>
      <c r="D42" t="s" s="80">
        <v>201</v>
      </c>
      <c r="E42" t="s" s="80">
        <v>202</v>
      </c>
      <c r="F42" s="34"/>
      <c r="G42" t="s" s="80">
        <v>8</v>
      </c>
      <c r="H42" s="34">
        <v>6032</v>
      </c>
      <c r="I42" s="147" cm="1">
        <f t="array" ref="I42">I41-H42</f>
        <v>1186295.81</v>
      </c>
    </row>
    <row r="43" ht="13.55" customHeight="1">
      <c r="A43" s="112">
        <v>45678</v>
      </c>
      <c r="B43" s="101"/>
      <c r="C43" t="s" s="19">
        <v>368</v>
      </c>
      <c r="D43" t="s" s="80">
        <v>203</v>
      </c>
      <c r="E43" t="s" s="80">
        <v>204</v>
      </c>
      <c r="F43" s="34"/>
      <c r="G43" s="34"/>
      <c r="H43" s="34">
        <v>50000</v>
      </c>
      <c r="I43" s="147" cm="1">
        <f t="array" ref="I43">I42-H43</f>
        <v>1136295.81</v>
      </c>
    </row>
    <row r="44" ht="13.55" customHeight="1">
      <c r="A44" s="112">
        <v>45684</v>
      </c>
      <c r="B44" s="101"/>
      <c r="C44" t="s" s="19">
        <v>368</v>
      </c>
      <c r="D44" t="s" s="80">
        <v>99</v>
      </c>
      <c r="E44" t="s" s="80">
        <v>199</v>
      </c>
      <c r="F44" s="34"/>
      <c r="G44" s="34"/>
      <c r="H44" s="34">
        <v>12</v>
      </c>
      <c r="I44" s="147" cm="1">
        <f t="array" ref="I44">I43-H44</f>
        <v>1136283.81</v>
      </c>
    </row>
    <row r="45" ht="13.55" customHeight="1">
      <c r="A45" s="112">
        <v>45684</v>
      </c>
      <c r="B45" s="101"/>
      <c r="C45" t="s" s="19">
        <v>368</v>
      </c>
      <c r="D45" t="s" s="80">
        <v>99</v>
      </c>
      <c r="E45" t="s" s="80">
        <v>200</v>
      </c>
      <c r="F45" s="34"/>
      <c r="G45" s="34"/>
      <c r="H45" s="34">
        <v>1.92</v>
      </c>
      <c r="I45" s="147" cm="1">
        <f t="array" ref="I45">I44-H45</f>
        <v>1136281.89</v>
      </c>
    </row>
    <row r="46" ht="13.55" customHeight="1">
      <c r="A46" s="112">
        <v>45684</v>
      </c>
      <c r="B46" s="101"/>
      <c r="C46" t="s" s="19">
        <v>368</v>
      </c>
      <c r="D46" t="s" s="80">
        <v>203</v>
      </c>
      <c r="E46" t="s" s="80">
        <v>204</v>
      </c>
      <c r="F46" s="34"/>
      <c r="G46" s="34"/>
      <c r="H46" s="34">
        <v>25000</v>
      </c>
      <c r="I46" s="147" cm="1">
        <f t="array" ref="I46">I45-H46</f>
        <v>1111281.89</v>
      </c>
    </row>
    <row r="47" ht="13.55" customHeight="1">
      <c r="A47" s="112">
        <v>45685</v>
      </c>
      <c r="B47" s="101"/>
      <c r="C47" t="s" s="19">
        <v>368</v>
      </c>
      <c r="D47" t="s" s="80">
        <v>99</v>
      </c>
      <c r="E47" t="s" s="80">
        <v>205</v>
      </c>
      <c r="F47" s="34"/>
      <c r="G47" s="34"/>
      <c r="H47" s="34">
        <v>50</v>
      </c>
      <c r="I47" s="147" cm="1">
        <f t="array" ref="I47">I46-H47</f>
        <v>1111231.89</v>
      </c>
    </row>
    <row r="48" ht="13.55" customHeight="1">
      <c r="A48" s="112">
        <v>45685</v>
      </c>
      <c r="B48" s="101"/>
      <c r="C48" t="s" s="19">
        <v>368</v>
      </c>
      <c r="D48" t="s" s="80">
        <v>99</v>
      </c>
      <c r="E48" t="s" s="80">
        <v>206</v>
      </c>
      <c r="F48" s="34"/>
      <c r="G48" s="34"/>
      <c r="H48" s="34">
        <v>8</v>
      </c>
      <c r="I48" s="147" cm="1">
        <f t="array" ref="I48">I47-H48</f>
        <v>1111223.89</v>
      </c>
    </row>
    <row r="49" ht="13.55" customHeight="1">
      <c r="A49" s="35"/>
      <c r="B49" s="35"/>
      <c r="C49" s="35"/>
      <c r="D49" t="s" s="80">
        <v>8</v>
      </c>
      <c r="E49" s="35"/>
      <c r="F49" s="34" cm="1">
        <f t="array" ref="F49">SUM(F6:F48)</f>
        <v>175000.05</v>
      </c>
      <c r="G49" s="34" cm="1">
        <f t="array" ref="G49">SUM(G6:G48)</f>
        <v>10250</v>
      </c>
      <c r="H49" s="34" cm="1">
        <f t="array" ref="H49">SUM(H26:H48)</f>
        <v>143358.7</v>
      </c>
      <c r="I49" s="147"/>
    </row>
    <row r="50" ht="15.75" customHeight="1">
      <c r="A50" s="35"/>
      <c r="B50" s="35"/>
      <c r="C50" s="35"/>
      <c r="D50" s="35"/>
      <c r="E50" s="35"/>
      <c r="F50" s="34" cm="1">
        <f t="array" ref="F50">F49+G49</f>
        <v>185250.05</v>
      </c>
      <c r="G50" s="150"/>
      <c r="H50" s="76"/>
      <c r="I50" s="151"/>
    </row>
    <row r="51" ht="14.05" customHeight="1">
      <c r="A51" s="22"/>
      <c r="B51" s="22"/>
      <c r="C51" s="22"/>
      <c r="D51" s="22"/>
      <c r="E51" s="22"/>
      <c r="F51" s="152"/>
      <c r="G51" t="s" s="153">
        <v>371</v>
      </c>
      <c r="H51" t="s" s="154">
        <v>8</v>
      </c>
      <c r="I51" t="s" s="155">
        <v>372</v>
      </c>
    </row>
    <row r="52" ht="13.55" customHeight="1">
      <c r="A52" s="7"/>
      <c r="B52" s="7"/>
      <c r="C52" s="7"/>
      <c r="D52" t="s" s="26">
        <v>373</v>
      </c>
      <c r="E52" s="144" cm="1">
        <f t="array" ref="E52">500+500+500+500+750+1000+1000+500+500+1000</f>
        <v>6750</v>
      </c>
      <c r="F52" t="s" s="156">
        <v>8</v>
      </c>
      <c r="G52" t="s" s="25">
        <v>374</v>
      </c>
      <c r="H52" s="157" cm="1">
        <f t="array" ref="H52">F15+F16</f>
        <v>56700</v>
      </c>
      <c r="I52" s="158">
        <v>56700</v>
      </c>
    </row>
    <row r="53" ht="13.55" customHeight="1">
      <c r="A53" s="7"/>
      <c r="B53" s="7"/>
      <c r="C53" s="7"/>
      <c r="D53" t="s" s="26">
        <v>375</v>
      </c>
      <c r="E53" s="144">
        <v>64700</v>
      </c>
      <c r="F53" t="s" s="156">
        <v>8</v>
      </c>
      <c r="G53" t="s" s="159">
        <v>376</v>
      </c>
      <c r="H53" s="160">
        <v>14750</v>
      </c>
      <c r="I53" s="161">
        <v>107300</v>
      </c>
    </row>
    <row r="54" ht="13.55" customHeight="1">
      <c r="A54" s="7"/>
      <c r="B54" s="7"/>
      <c r="C54" s="7"/>
      <c r="D54" t="s" s="26">
        <v>377</v>
      </c>
      <c r="E54" s="144" cm="1">
        <f t="array" ref="E54">F6+F9+F13+F18+F19+F22+F24+F25</f>
        <v>9400</v>
      </c>
      <c r="F54" t="s" s="156">
        <v>8</v>
      </c>
      <c r="G54" t="s" s="159">
        <v>378</v>
      </c>
      <c r="H54" s="160">
        <v>81050</v>
      </c>
      <c r="I54" t="s" s="162">
        <v>8</v>
      </c>
    </row>
    <row r="55" ht="13.55" customHeight="1">
      <c r="A55" s="7"/>
      <c r="B55" s="7"/>
      <c r="C55" s="7"/>
      <c r="D55" t="s" s="26">
        <v>379</v>
      </c>
      <c r="E55" s="144" cm="1">
        <f t="array" ref="E55">F7+F8+F17+F20</f>
        <v>1600.05</v>
      </c>
      <c r="F55" t="s" s="156">
        <v>8</v>
      </c>
      <c r="G55" t="s" s="159">
        <v>380</v>
      </c>
      <c r="H55" s="160">
        <v>11500</v>
      </c>
      <c r="I55" s="163"/>
    </row>
    <row r="56" ht="13.55" customHeight="1">
      <c r="A56" s="7"/>
      <c r="B56" s="7"/>
      <c r="C56" s="7"/>
      <c r="D56" t="s" s="26">
        <v>57</v>
      </c>
      <c r="E56" s="144" cm="1">
        <f t="array" ref="E56">G49</f>
        <v>10250</v>
      </c>
      <c r="F56" t="s" s="156">
        <v>8</v>
      </c>
      <c r="G56" t="s" s="25">
        <v>8</v>
      </c>
      <c r="H56" s="164"/>
      <c r="I56" s="158"/>
    </row>
    <row r="57" ht="15.75" customHeight="1">
      <c r="A57" s="7"/>
      <c r="B57" s="7"/>
      <c r="C57" s="7"/>
      <c r="D57" t="s" s="26">
        <v>381</v>
      </c>
      <c r="E57" s="144" cm="1">
        <f t="array" ref="E57">H54+H55</f>
        <v>92550</v>
      </c>
      <c r="F57" s="9"/>
      <c r="G57" t="s" s="165">
        <v>8</v>
      </c>
      <c r="H57" s="166" cm="1">
        <f t="array" ref="H57">H55+H54+H53+H52</f>
        <v>164000</v>
      </c>
      <c r="I57" s="167" cm="1">
        <f t="array" ref="I57">I53+I52</f>
        <v>164000</v>
      </c>
    </row>
    <row r="58" ht="14.05" customHeight="1">
      <c r="A58" s="7"/>
      <c r="B58" s="7"/>
      <c r="C58" s="7"/>
      <c r="D58" s="7"/>
      <c r="E58" s="144" cm="1">
        <f t="array" ref="E58">SUM(E52:E57)</f>
        <v>185250.05</v>
      </c>
      <c r="F58" t="s" s="26">
        <v>8</v>
      </c>
      <c r="G58" t="s" s="168">
        <v>8</v>
      </c>
      <c r="H58" s="78"/>
      <c r="I58" s="169"/>
    </row>
    <row r="59" ht="15.75" customHeight="1">
      <c r="A59" s="8"/>
      <c r="B59" s="8"/>
      <c r="C59" s="8"/>
      <c r="D59" s="8"/>
      <c r="E59" s="8"/>
      <c r="F59" s="8"/>
      <c r="G59" s="170"/>
      <c r="H59" s="8"/>
      <c r="I59" s="171"/>
    </row>
  </sheetData>
  <mergeCells count="1">
    <mergeCell ref="D3:D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62"/>
  <sheetViews>
    <sheetView workbookViewId="0" showGridLines="0" defaultGridColor="1"/>
  </sheetViews>
  <sheetFormatPr defaultColWidth="10.8333" defaultRowHeight="15" customHeight="1" outlineLevelRow="0" outlineLevelCol="0"/>
  <cols>
    <col min="1" max="4" width="10.8516" style="172" customWidth="1"/>
    <col min="5" max="5" width="28" style="172" customWidth="1"/>
    <col min="6" max="6" width="36.6719" style="172" customWidth="1"/>
    <col min="7" max="7" width="14.3516" style="172" customWidth="1"/>
    <col min="8" max="8" width="10.8516" style="172" customWidth="1"/>
    <col min="9" max="9" width="14.8516" style="172" customWidth="1"/>
    <col min="10" max="10" width="23.3516" style="172" customWidth="1"/>
    <col min="11" max="11" width="10.8516" style="172" customWidth="1"/>
    <col min="12" max="16384" width="10.8516" style="172" customWidth="1"/>
  </cols>
  <sheetData>
    <row r="1" ht="15.75" customHeight="1">
      <c r="A1" s="7"/>
      <c r="B1" s="8"/>
      <c r="C1" s="8"/>
      <c r="D1" s="8"/>
      <c r="E1" s="8"/>
      <c r="F1" s="8"/>
      <c r="G1" s="8"/>
      <c r="H1" s="8"/>
      <c r="I1" s="8"/>
      <c r="J1" s="8"/>
      <c r="K1" s="7"/>
    </row>
    <row r="2" ht="18" customHeight="1">
      <c r="A2" s="9"/>
      <c r="B2" t="s" s="107">
        <v>77</v>
      </c>
      <c r="C2" s="108"/>
      <c r="D2" s="108"/>
      <c r="E2" s="85"/>
      <c r="F2" s="84"/>
      <c r="G2" s="84"/>
      <c r="H2" s="84"/>
      <c r="I2" s="85"/>
      <c r="J2" s="146"/>
      <c r="K2" s="16"/>
    </row>
    <row r="3" ht="18" customHeight="1">
      <c r="A3" s="9"/>
      <c r="B3" t="s" s="86">
        <v>382</v>
      </c>
      <c r="C3" s="87"/>
      <c r="D3" s="87"/>
      <c r="E3" s="88"/>
      <c r="F3" s="88"/>
      <c r="G3" s="88"/>
      <c r="H3" s="113"/>
      <c r="I3" s="88"/>
      <c r="J3" s="147"/>
      <c r="K3" s="16"/>
    </row>
    <row r="4" ht="16.5" customHeight="1">
      <c r="A4" s="9"/>
      <c r="B4" s="110"/>
      <c r="C4" s="89"/>
      <c r="D4" s="89"/>
      <c r="E4" t="s" s="90">
        <v>78</v>
      </c>
      <c r="F4" t="s" s="90">
        <v>52</v>
      </c>
      <c r="G4" s="89"/>
      <c r="H4" t="s" s="90">
        <v>53</v>
      </c>
      <c r="I4" t="s" s="90">
        <v>53</v>
      </c>
      <c r="J4" t="s" s="148">
        <v>53</v>
      </c>
      <c r="K4" s="16"/>
    </row>
    <row r="5" ht="33" customHeight="1">
      <c r="A5" s="9"/>
      <c r="B5" t="s" s="111">
        <v>79</v>
      </c>
      <c r="C5" t="s" s="90">
        <v>54</v>
      </c>
      <c r="D5" t="s" s="90">
        <v>364</v>
      </c>
      <c r="E5" s="89"/>
      <c r="F5" t="s" s="90">
        <v>55</v>
      </c>
      <c r="G5" t="s" s="90">
        <v>8</v>
      </c>
      <c r="H5" t="s" s="90">
        <v>109</v>
      </c>
      <c r="I5" t="s" s="90">
        <v>365</v>
      </c>
      <c r="J5" t="s" s="148">
        <v>366</v>
      </c>
      <c r="K5" s="16"/>
    </row>
    <row r="6" ht="16.5" customHeight="1">
      <c r="A6" s="9"/>
      <c r="B6" t="s" s="111">
        <v>8</v>
      </c>
      <c r="C6" t="s" s="94">
        <v>58</v>
      </c>
      <c r="D6" s="149"/>
      <c r="E6" t="s" s="95">
        <v>8</v>
      </c>
      <c r="F6" s="89"/>
      <c r="G6" t="s" s="96">
        <v>59</v>
      </c>
      <c r="H6" s="97"/>
      <c r="I6" t="s" s="90">
        <v>8</v>
      </c>
      <c r="J6" s="147">
        <v>10967763.9</v>
      </c>
      <c r="K6" s="16"/>
    </row>
    <row r="7" ht="13.55" customHeight="1">
      <c r="A7" s="9"/>
      <c r="B7" s="112">
        <v>45692</v>
      </c>
      <c r="C7" s="98"/>
      <c r="D7" t="s" s="19">
        <v>367</v>
      </c>
      <c r="E7" t="s" s="80">
        <v>60</v>
      </c>
      <c r="F7" t="s" s="80">
        <v>80</v>
      </c>
      <c r="G7" s="99">
        <v>500</v>
      </c>
      <c r="H7" s="34"/>
      <c r="I7" s="35"/>
      <c r="J7" s="147"/>
      <c r="K7" s="16"/>
    </row>
    <row r="8" ht="13.55" customHeight="1">
      <c r="A8" s="9"/>
      <c r="B8" s="112">
        <v>45693</v>
      </c>
      <c r="C8" s="98"/>
      <c r="D8" t="s" s="19">
        <v>367</v>
      </c>
      <c r="E8" t="s" s="80">
        <v>60</v>
      </c>
      <c r="F8" t="s" s="80">
        <v>73</v>
      </c>
      <c r="G8" s="34">
        <v>500</v>
      </c>
      <c r="H8" s="34"/>
      <c r="I8" s="35"/>
      <c r="J8" s="147"/>
      <c r="K8" s="16"/>
    </row>
    <row r="9" ht="13.55" customHeight="1">
      <c r="A9" s="9"/>
      <c r="B9" s="112">
        <v>45698</v>
      </c>
      <c r="C9" s="100"/>
      <c r="D9" t="s" s="19">
        <v>367</v>
      </c>
      <c r="E9" t="s" s="80">
        <v>60</v>
      </c>
      <c r="F9" t="s" s="80">
        <v>81</v>
      </c>
      <c r="G9" s="34">
        <v>1616.71</v>
      </c>
      <c r="H9" s="34"/>
      <c r="I9" s="35"/>
      <c r="J9" s="147"/>
      <c r="K9" s="16"/>
    </row>
    <row r="10" ht="13.55" customHeight="1">
      <c r="A10" s="9"/>
      <c r="B10" s="112">
        <v>45699</v>
      </c>
      <c r="C10" s="98"/>
      <c r="D10" t="s" s="19">
        <v>367</v>
      </c>
      <c r="E10" t="s" s="80">
        <v>60</v>
      </c>
      <c r="F10" t="s" s="80">
        <v>82</v>
      </c>
      <c r="G10" s="99">
        <v>500</v>
      </c>
      <c r="H10" s="34"/>
      <c r="I10" s="35"/>
      <c r="J10" s="147"/>
      <c r="K10" s="16"/>
    </row>
    <row r="11" ht="13.55" customHeight="1">
      <c r="A11" s="9"/>
      <c r="B11" s="112">
        <v>45700</v>
      </c>
      <c r="C11" s="98"/>
      <c r="D11" t="s" s="19">
        <v>367</v>
      </c>
      <c r="E11" t="s" s="80">
        <v>60</v>
      </c>
      <c r="F11" t="s" s="80">
        <v>74</v>
      </c>
      <c r="G11" s="34">
        <v>500</v>
      </c>
      <c r="H11" s="34"/>
      <c r="I11" s="35"/>
      <c r="J11" s="147"/>
      <c r="K11" s="16"/>
    </row>
    <row r="12" ht="13.55" customHeight="1">
      <c r="A12" s="9"/>
      <c r="B12" s="112">
        <v>45705</v>
      </c>
      <c r="C12" s="100"/>
      <c r="D12" t="s" s="19">
        <v>367</v>
      </c>
      <c r="E12" t="s" s="80">
        <v>60</v>
      </c>
      <c r="F12" t="s" s="80">
        <v>83</v>
      </c>
      <c r="G12" s="34">
        <v>24250</v>
      </c>
      <c r="H12" s="34"/>
      <c r="I12" s="35"/>
      <c r="J12" s="147"/>
      <c r="K12" s="16"/>
    </row>
    <row r="13" ht="13.55" customHeight="1">
      <c r="A13" s="9"/>
      <c r="B13" s="112">
        <v>45705</v>
      </c>
      <c r="C13" s="100"/>
      <c r="D13" t="s" s="19">
        <v>367</v>
      </c>
      <c r="E13" t="s" s="80">
        <v>60</v>
      </c>
      <c r="F13" t="s" s="80">
        <v>83</v>
      </c>
      <c r="G13" s="34">
        <v>107150</v>
      </c>
      <c r="H13" s="34"/>
      <c r="I13" s="35"/>
      <c r="J13" s="147"/>
      <c r="K13" s="16"/>
    </row>
    <row r="14" ht="13.55" customHeight="1">
      <c r="A14" s="9"/>
      <c r="B14" s="112">
        <v>45705</v>
      </c>
      <c r="C14" s="98"/>
      <c r="D14" t="s" s="19">
        <v>367</v>
      </c>
      <c r="E14" t="s" s="80">
        <v>60</v>
      </c>
      <c r="F14" t="s" s="80">
        <v>83</v>
      </c>
      <c r="G14" s="99">
        <v>28350</v>
      </c>
      <c r="H14" s="34"/>
      <c r="I14" s="35"/>
      <c r="J14" s="147"/>
      <c r="K14" s="16"/>
    </row>
    <row r="15" ht="13.55" customHeight="1">
      <c r="A15" s="9"/>
      <c r="B15" s="112">
        <v>45705</v>
      </c>
      <c r="C15" s="100"/>
      <c r="D15" t="s" s="19">
        <v>367</v>
      </c>
      <c r="E15" t="s" s="80">
        <v>60</v>
      </c>
      <c r="F15" t="s" s="80">
        <v>84</v>
      </c>
      <c r="G15" s="34">
        <v>500</v>
      </c>
      <c r="H15" s="34"/>
      <c r="I15" s="35"/>
      <c r="J15" s="147"/>
      <c r="K15" s="16"/>
    </row>
    <row r="16" ht="13.55" customHeight="1">
      <c r="A16" s="9"/>
      <c r="B16" s="112">
        <v>45705</v>
      </c>
      <c r="C16" s="100"/>
      <c r="D16" t="s" s="19">
        <v>367</v>
      </c>
      <c r="E16" t="s" s="80">
        <v>60</v>
      </c>
      <c r="F16" t="s" s="80">
        <v>85</v>
      </c>
      <c r="G16" s="34">
        <v>500</v>
      </c>
      <c r="H16" s="34"/>
      <c r="I16" s="35"/>
      <c r="J16" s="147"/>
      <c r="K16" s="16"/>
    </row>
    <row r="17" ht="13.55" customHeight="1">
      <c r="A17" s="9"/>
      <c r="B17" s="112">
        <v>45705</v>
      </c>
      <c r="C17" s="98"/>
      <c r="D17" t="s" s="19">
        <v>367</v>
      </c>
      <c r="E17" t="s" s="80">
        <v>60</v>
      </c>
      <c r="F17" t="s" s="80">
        <v>83</v>
      </c>
      <c r="G17" s="34">
        <v>500</v>
      </c>
      <c r="H17" s="34"/>
      <c r="I17" s="35"/>
      <c r="J17" s="147"/>
      <c r="K17" s="16"/>
    </row>
    <row r="18" ht="13.55" customHeight="1">
      <c r="A18" s="9"/>
      <c r="B18" s="112">
        <v>45707</v>
      </c>
      <c r="C18" s="98"/>
      <c r="D18" t="s" s="19">
        <v>367</v>
      </c>
      <c r="E18" t="s" s="80">
        <v>60</v>
      </c>
      <c r="F18" t="s" s="80">
        <v>83</v>
      </c>
      <c r="G18" s="34">
        <v>1000</v>
      </c>
      <c r="H18" s="34"/>
      <c r="I18" s="35"/>
      <c r="J18" s="147"/>
      <c r="K18" s="16"/>
    </row>
    <row r="19" ht="13.55" customHeight="1">
      <c r="A19" s="9"/>
      <c r="B19" s="112">
        <v>45707</v>
      </c>
      <c r="C19" s="98"/>
      <c r="D19" t="s" s="19">
        <v>367</v>
      </c>
      <c r="E19" t="s" s="80">
        <v>60</v>
      </c>
      <c r="F19" t="s" s="80">
        <v>83</v>
      </c>
      <c r="G19" s="99">
        <v>1750</v>
      </c>
      <c r="H19" s="34"/>
      <c r="I19" s="35"/>
      <c r="J19" s="147"/>
      <c r="K19" s="16"/>
    </row>
    <row r="20" ht="13.55" customHeight="1">
      <c r="A20" s="9"/>
      <c r="B20" s="112">
        <v>45707</v>
      </c>
      <c r="C20" s="98"/>
      <c r="D20" t="s" s="19">
        <v>367</v>
      </c>
      <c r="E20" t="s" s="80">
        <v>60</v>
      </c>
      <c r="F20" t="s" s="80">
        <v>83</v>
      </c>
      <c r="G20" s="99">
        <v>1300</v>
      </c>
      <c r="H20" s="34"/>
      <c r="I20" s="35"/>
      <c r="J20" s="147"/>
      <c r="K20" s="16"/>
    </row>
    <row r="21" ht="13.55" customHeight="1">
      <c r="A21" s="9"/>
      <c r="B21" s="112">
        <v>45707</v>
      </c>
      <c r="C21" s="98"/>
      <c r="D21" t="s" s="19">
        <v>367</v>
      </c>
      <c r="E21" t="s" s="80">
        <v>60</v>
      </c>
      <c r="F21" t="s" s="80">
        <v>83</v>
      </c>
      <c r="G21" s="34">
        <v>3500</v>
      </c>
      <c r="H21" s="34"/>
      <c r="I21" s="35"/>
      <c r="J21" s="147"/>
      <c r="K21" s="16"/>
    </row>
    <row r="22" ht="13.55" customHeight="1">
      <c r="A22" s="9"/>
      <c r="B22" s="112"/>
      <c r="C22" s="98"/>
      <c r="D22" s="98"/>
      <c r="E22" s="35"/>
      <c r="F22" s="35"/>
      <c r="G22" s="34"/>
      <c r="H22" s="34"/>
      <c r="I22" s="35"/>
      <c r="J22" s="147"/>
      <c r="K22" s="16"/>
    </row>
    <row r="23" ht="13.55" customHeight="1">
      <c r="A23" s="9"/>
      <c r="B23" s="112"/>
      <c r="C23" s="98"/>
      <c r="D23" s="98"/>
      <c r="E23" s="35"/>
      <c r="F23" s="35"/>
      <c r="G23" s="99"/>
      <c r="H23" s="34"/>
      <c r="I23" s="35"/>
      <c r="J23" s="147"/>
      <c r="K23" s="16"/>
    </row>
    <row r="24" ht="13.55" customHeight="1">
      <c r="A24" s="9"/>
      <c r="B24" s="112">
        <v>45698</v>
      </c>
      <c r="C24" s="98"/>
      <c r="D24" t="s" s="19">
        <v>368</v>
      </c>
      <c r="E24" t="s" s="80">
        <v>207</v>
      </c>
      <c r="F24" t="s" s="80">
        <v>208</v>
      </c>
      <c r="G24" s="34"/>
      <c r="H24" s="34"/>
      <c r="I24" s="34">
        <v>1616.71</v>
      </c>
      <c r="J24" s="147"/>
      <c r="K24" s="16"/>
    </row>
    <row r="25" ht="13.55" customHeight="1">
      <c r="A25" s="79"/>
      <c r="B25" s="101">
        <v>45698</v>
      </c>
      <c r="C25" s="98"/>
      <c r="D25" t="s" s="19">
        <v>368</v>
      </c>
      <c r="E25" t="s" s="80">
        <v>207</v>
      </c>
      <c r="F25" t="s" s="80">
        <v>208</v>
      </c>
      <c r="G25" s="34"/>
      <c r="H25" s="34"/>
      <c r="I25" s="173">
        <v>1616.71</v>
      </c>
      <c r="J25" s="147"/>
      <c r="K25" s="16"/>
    </row>
    <row r="26" ht="13.55" customHeight="1">
      <c r="A26" s="79"/>
      <c r="B26" s="101">
        <v>45702</v>
      </c>
      <c r="C26" s="101"/>
      <c r="D26" t="s" s="19">
        <v>368</v>
      </c>
      <c r="E26" t="s" s="80">
        <v>197</v>
      </c>
      <c r="F26" t="s" s="80">
        <v>209</v>
      </c>
      <c r="G26" s="34"/>
      <c r="H26" s="34"/>
      <c r="I26" s="174">
        <v>14002.08</v>
      </c>
      <c r="J26" s="147"/>
      <c r="K26" s="16"/>
    </row>
    <row r="27" ht="13.55" customHeight="1">
      <c r="A27" s="79"/>
      <c r="B27" s="101">
        <v>45705</v>
      </c>
      <c r="C27" s="101"/>
      <c r="D27" t="s" s="19">
        <v>368</v>
      </c>
      <c r="E27" t="s" s="80">
        <v>99</v>
      </c>
      <c r="F27" t="s" s="80">
        <v>210</v>
      </c>
      <c r="G27" s="34"/>
      <c r="H27" s="34"/>
      <c r="I27" s="174">
        <v>10</v>
      </c>
      <c r="J27" s="147"/>
      <c r="K27" s="16"/>
    </row>
    <row r="28" ht="13.55" customHeight="1">
      <c r="A28" s="79"/>
      <c r="B28" s="101">
        <v>45705</v>
      </c>
      <c r="C28" s="101"/>
      <c r="D28" t="s" s="19">
        <v>368</v>
      </c>
      <c r="E28" t="s" s="80">
        <v>99</v>
      </c>
      <c r="F28" t="s" s="80">
        <v>211</v>
      </c>
      <c r="G28" s="34"/>
      <c r="H28" s="34"/>
      <c r="I28" s="174">
        <v>1.6</v>
      </c>
      <c r="J28" s="147"/>
      <c r="K28" s="16"/>
    </row>
    <row r="29" ht="13.55" customHeight="1">
      <c r="A29" s="79"/>
      <c r="B29" s="101">
        <v>45705</v>
      </c>
      <c r="C29" s="101"/>
      <c r="D29" t="s" s="19">
        <v>368</v>
      </c>
      <c r="E29" t="s" s="80">
        <v>99</v>
      </c>
      <c r="F29" t="s" s="80">
        <v>212</v>
      </c>
      <c r="G29" s="34"/>
      <c r="H29" s="34"/>
      <c r="I29" s="174">
        <v>715.38</v>
      </c>
      <c r="J29" s="147"/>
      <c r="K29" s="16"/>
    </row>
    <row r="30" ht="13.55" customHeight="1">
      <c r="A30" s="79"/>
      <c r="B30" s="101">
        <v>45705</v>
      </c>
      <c r="C30" s="101"/>
      <c r="D30" t="s" s="19">
        <v>368</v>
      </c>
      <c r="E30" t="s" s="80">
        <v>99</v>
      </c>
      <c r="F30" t="s" s="80">
        <v>213</v>
      </c>
      <c r="G30" s="34"/>
      <c r="H30" s="34"/>
      <c r="I30" s="174">
        <v>114.46</v>
      </c>
      <c r="J30" s="147"/>
      <c r="K30" s="16"/>
    </row>
    <row r="31" ht="13.55" customHeight="1">
      <c r="A31" s="79"/>
      <c r="B31" s="101">
        <v>45705</v>
      </c>
      <c r="C31" s="101"/>
      <c r="D31" t="s" s="19">
        <v>368</v>
      </c>
      <c r="E31" t="s" s="80">
        <v>99</v>
      </c>
      <c r="F31" t="s" s="80">
        <v>212</v>
      </c>
      <c r="G31" s="34"/>
      <c r="H31" s="34"/>
      <c r="I31" s="174">
        <v>2147.75</v>
      </c>
      <c r="J31" s="147"/>
      <c r="K31" s="16"/>
    </row>
    <row r="32" ht="13.55" customHeight="1">
      <c r="A32" s="79"/>
      <c r="B32" s="101">
        <v>45705</v>
      </c>
      <c r="C32" s="101"/>
      <c r="D32" t="s" s="19">
        <v>368</v>
      </c>
      <c r="E32" t="s" s="80">
        <v>99</v>
      </c>
      <c r="F32" t="s" s="80">
        <v>213</v>
      </c>
      <c r="G32" s="34"/>
      <c r="H32" s="34"/>
      <c r="I32" s="174">
        <v>343.64</v>
      </c>
      <c r="J32" s="147"/>
      <c r="K32" s="16"/>
    </row>
    <row r="33" ht="13.55" customHeight="1">
      <c r="A33" s="79"/>
      <c r="B33" s="101">
        <v>45705</v>
      </c>
      <c r="C33" s="101"/>
      <c r="D33" t="s" s="19">
        <v>368</v>
      </c>
      <c r="E33" t="s" s="80">
        <v>99</v>
      </c>
      <c r="F33" t="s" s="80">
        <v>212</v>
      </c>
      <c r="G33" s="34"/>
      <c r="H33" s="34"/>
      <c r="I33" s="175">
        <v>538.65</v>
      </c>
      <c r="J33" s="147"/>
      <c r="K33" s="16"/>
    </row>
    <row r="34" ht="13.55" customHeight="1">
      <c r="A34" s="79"/>
      <c r="B34" s="101">
        <v>45705</v>
      </c>
      <c r="C34" s="101"/>
      <c r="D34" t="s" s="19">
        <v>368</v>
      </c>
      <c r="E34" t="s" s="80">
        <v>99</v>
      </c>
      <c r="F34" t="s" s="80">
        <v>213</v>
      </c>
      <c r="G34" s="34"/>
      <c r="H34" s="34"/>
      <c r="I34" s="34">
        <v>86.16</v>
      </c>
      <c r="J34" s="147"/>
      <c r="K34" s="16"/>
    </row>
    <row r="35" ht="13.55" customHeight="1">
      <c r="A35" s="9"/>
      <c r="B35" s="112">
        <v>45705</v>
      </c>
      <c r="C35" s="101"/>
      <c r="D35" t="s" s="19">
        <v>368</v>
      </c>
      <c r="E35" t="s" s="80">
        <v>99</v>
      </c>
      <c r="F35" t="s" s="80">
        <v>214</v>
      </c>
      <c r="G35" s="34"/>
      <c r="H35" s="34"/>
      <c r="I35" s="34">
        <v>50</v>
      </c>
      <c r="J35" s="147"/>
      <c r="K35" s="16"/>
    </row>
    <row r="36" ht="13.55" customHeight="1">
      <c r="A36" s="9"/>
      <c r="B36" s="112">
        <v>45705</v>
      </c>
      <c r="C36" s="101"/>
      <c r="D36" t="s" s="19">
        <v>368</v>
      </c>
      <c r="E36" t="s" s="80">
        <v>99</v>
      </c>
      <c r="F36" t="s" s="80">
        <v>215</v>
      </c>
      <c r="G36" s="34"/>
      <c r="H36" s="34"/>
      <c r="I36" s="34">
        <v>8</v>
      </c>
      <c r="J36" s="147"/>
      <c r="K36" s="16"/>
    </row>
    <row r="37" ht="13.55" customHeight="1">
      <c r="A37" s="9"/>
      <c r="B37" s="112">
        <v>45707</v>
      </c>
      <c r="C37" s="101"/>
      <c r="D37" t="s" s="19">
        <v>368</v>
      </c>
      <c r="E37" t="s" s="80">
        <v>99</v>
      </c>
      <c r="F37" t="s" s="80">
        <v>212</v>
      </c>
      <c r="G37" s="34"/>
      <c r="H37" s="34"/>
      <c r="I37" s="34">
        <v>35</v>
      </c>
      <c r="J37" s="147"/>
      <c r="K37" s="16"/>
    </row>
    <row r="38" ht="13.55" customHeight="1">
      <c r="A38" s="9"/>
      <c r="B38" s="112">
        <v>45707</v>
      </c>
      <c r="C38" s="101"/>
      <c r="D38" t="s" s="19">
        <v>368</v>
      </c>
      <c r="E38" t="s" s="80">
        <v>99</v>
      </c>
      <c r="F38" t="s" s="80">
        <v>213</v>
      </c>
      <c r="G38" s="34"/>
      <c r="H38" s="34"/>
      <c r="I38" s="34">
        <v>5.6</v>
      </c>
      <c r="J38" s="147"/>
      <c r="K38" s="16"/>
    </row>
    <row r="39" ht="13.55" customHeight="1">
      <c r="A39" s="9"/>
      <c r="B39" s="112">
        <v>45707</v>
      </c>
      <c r="C39" s="101"/>
      <c r="D39" t="s" s="19">
        <v>368</v>
      </c>
      <c r="E39" t="s" s="80">
        <v>99</v>
      </c>
      <c r="F39" t="s" s="80">
        <v>212</v>
      </c>
      <c r="G39" s="34"/>
      <c r="H39" s="34"/>
      <c r="I39" s="34">
        <v>24.7</v>
      </c>
      <c r="J39" s="147"/>
      <c r="K39" s="16"/>
    </row>
    <row r="40" ht="13.55" customHeight="1">
      <c r="A40" s="9"/>
      <c r="B40" s="112">
        <v>45707</v>
      </c>
      <c r="C40" s="101"/>
      <c r="D40" t="s" s="19">
        <v>368</v>
      </c>
      <c r="E40" t="s" s="80">
        <v>99</v>
      </c>
      <c r="F40" t="s" s="80">
        <v>213</v>
      </c>
      <c r="G40" s="34"/>
      <c r="H40" s="34"/>
      <c r="I40" s="34">
        <v>3.95</v>
      </c>
      <c r="J40" s="147"/>
      <c r="K40" s="16"/>
    </row>
    <row r="41" ht="13.55" customHeight="1">
      <c r="A41" s="9"/>
      <c r="B41" s="112">
        <v>45707</v>
      </c>
      <c r="C41" s="101"/>
      <c r="D41" t="s" s="19">
        <v>368</v>
      </c>
      <c r="E41" t="s" s="80">
        <v>99</v>
      </c>
      <c r="F41" t="s" s="80">
        <v>212</v>
      </c>
      <c r="G41" s="34"/>
      <c r="H41" s="34"/>
      <c r="I41" s="34">
        <v>103.25</v>
      </c>
      <c r="J41" t="s" s="176">
        <v>8</v>
      </c>
      <c r="K41" s="16"/>
    </row>
    <row r="42" ht="13.55" customHeight="1">
      <c r="A42" s="9"/>
      <c r="B42" s="112">
        <v>45707</v>
      </c>
      <c r="C42" s="101"/>
      <c r="D42" t="s" s="19">
        <v>368</v>
      </c>
      <c r="E42" t="s" s="80">
        <v>99</v>
      </c>
      <c r="F42" t="s" s="80">
        <v>213</v>
      </c>
      <c r="G42" s="34"/>
      <c r="H42" s="34"/>
      <c r="I42" s="34">
        <v>16.52</v>
      </c>
      <c r="J42" s="147"/>
      <c r="K42" s="16"/>
    </row>
    <row r="43" ht="13.55" customHeight="1">
      <c r="A43" s="9"/>
      <c r="B43" s="112">
        <v>45708</v>
      </c>
      <c r="C43" s="101"/>
      <c r="D43" t="s" s="19">
        <v>368</v>
      </c>
      <c r="E43" t="s" s="80">
        <v>216</v>
      </c>
      <c r="F43" t="s" s="80">
        <v>217</v>
      </c>
      <c r="G43" s="34"/>
      <c r="H43" s="34"/>
      <c r="I43" s="34">
        <v>17400</v>
      </c>
      <c r="J43" s="147"/>
      <c r="K43" s="16"/>
    </row>
    <row r="44" ht="13.55" customHeight="1">
      <c r="A44" s="9"/>
      <c r="B44" s="112">
        <v>45709</v>
      </c>
      <c r="C44" s="101"/>
      <c r="D44" t="s" s="19">
        <v>368</v>
      </c>
      <c r="E44" t="s" s="80">
        <v>218</v>
      </c>
      <c r="F44" t="s" s="80">
        <v>204</v>
      </c>
      <c r="G44" s="34"/>
      <c r="H44" s="34"/>
      <c r="I44" s="34">
        <v>20000</v>
      </c>
      <c r="J44" s="147"/>
      <c r="K44" s="16"/>
    </row>
    <row r="45" ht="13.55" customHeight="1">
      <c r="A45" s="9"/>
      <c r="B45" s="112">
        <v>45715</v>
      </c>
      <c r="C45" s="101"/>
      <c r="D45" t="s" s="19">
        <v>368</v>
      </c>
      <c r="E45" t="s" s="80">
        <v>197</v>
      </c>
      <c r="F45" t="s" s="80">
        <v>383</v>
      </c>
      <c r="G45" s="34"/>
      <c r="H45" s="34"/>
      <c r="I45" s="34">
        <v>14059.96</v>
      </c>
      <c r="J45" s="147"/>
      <c r="K45" s="16"/>
    </row>
    <row r="46" ht="13.55" customHeight="1">
      <c r="A46" s="9"/>
      <c r="B46" s="112">
        <v>45715</v>
      </c>
      <c r="C46" s="101"/>
      <c r="D46" t="s" s="19">
        <v>368</v>
      </c>
      <c r="E46" t="s" s="80">
        <v>220</v>
      </c>
      <c r="F46" t="s" s="80">
        <v>220</v>
      </c>
      <c r="G46" s="34"/>
      <c r="H46" s="34"/>
      <c r="I46" s="34">
        <v>10</v>
      </c>
      <c r="J46" s="147"/>
      <c r="K46" s="16"/>
    </row>
    <row r="47" ht="13.55" customHeight="1">
      <c r="A47" s="9"/>
      <c r="B47" s="112">
        <v>45715</v>
      </c>
      <c r="C47" s="101"/>
      <c r="D47" t="s" s="19">
        <v>368</v>
      </c>
      <c r="E47" t="s" s="80">
        <v>206</v>
      </c>
      <c r="F47" t="s" s="80">
        <v>206</v>
      </c>
      <c r="G47" s="34"/>
      <c r="H47" s="34"/>
      <c r="I47" s="34">
        <v>1.6</v>
      </c>
      <c r="J47" s="147"/>
      <c r="K47" s="16"/>
    </row>
    <row r="48" ht="13.55" customHeight="1">
      <c r="A48" s="9"/>
      <c r="B48" s="112">
        <v>45716</v>
      </c>
      <c r="C48" s="101"/>
      <c r="D48" t="s" s="19">
        <v>368</v>
      </c>
      <c r="E48" t="s" s="80">
        <v>221</v>
      </c>
      <c r="F48" t="s" s="80">
        <v>221</v>
      </c>
      <c r="G48" s="34"/>
      <c r="H48" s="34"/>
      <c r="I48" s="34">
        <v>400</v>
      </c>
      <c r="J48" s="147"/>
      <c r="K48" s="16"/>
    </row>
    <row r="49" ht="13.55" customHeight="1">
      <c r="A49" s="9"/>
      <c r="B49" s="112">
        <v>45716</v>
      </c>
      <c r="C49" s="101"/>
      <c r="D49" t="s" s="19">
        <v>368</v>
      </c>
      <c r="E49" t="s" s="80">
        <v>206</v>
      </c>
      <c r="F49" t="s" s="80">
        <v>206</v>
      </c>
      <c r="G49" s="34"/>
      <c r="H49" s="34"/>
      <c r="I49" s="34">
        <v>64</v>
      </c>
      <c r="J49" s="147"/>
      <c r="K49" s="16"/>
    </row>
    <row r="50" ht="13.55" customHeight="1">
      <c r="A50" s="9"/>
      <c r="B50" s="112"/>
      <c r="C50" s="101"/>
      <c r="D50" s="101"/>
      <c r="E50" s="35"/>
      <c r="F50" s="35"/>
      <c r="G50" s="34"/>
      <c r="H50" s="34"/>
      <c r="I50" s="34"/>
      <c r="J50" s="147"/>
      <c r="K50" s="16"/>
    </row>
    <row r="51" ht="13.55" customHeight="1">
      <c r="A51" s="9"/>
      <c r="B51" s="112"/>
      <c r="C51" s="101"/>
      <c r="D51" s="101"/>
      <c r="E51" s="35"/>
      <c r="F51" s="35"/>
      <c r="G51" s="34"/>
      <c r="H51" s="34"/>
      <c r="I51" s="34"/>
      <c r="J51" s="147"/>
      <c r="K51" s="16"/>
    </row>
    <row r="52" ht="13.55" customHeight="1">
      <c r="A52" s="9"/>
      <c r="B52" s="112"/>
      <c r="C52" s="35"/>
      <c r="D52" s="35"/>
      <c r="E52" t="s" s="80">
        <v>8</v>
      </c>
      <c r="F52" s="35"/>
      <c r="G52" s="34" cm="1">
        <f t="array" ref="G52">SUM(G7:G51)</f>
        <v>172416.71</v>
      </c>
      <c r="H52" s="34" cm="1">
        <f t="array" ref="H52">SUM(H7:H51)</f>
        <v>0</v>
      </c>
      <c r="I52" s="34" cm="1">
        <f t="array" ref="I52">SUM(I24:I51)</f>
        <v>73375.72</v>
      </c>
      <c r="J52" s="147"/>
      <c r="K52" t="s" s="25">
        <v>8</v>
      </c>
    </row>
    <row r="53" ht="15.75" customHeight="1">
      <c r="A53" s="9"/>
      <c r="B53" s="112"/>
      <c r="C53" s="35"/>
      <c r="D53" s="35"/>
      <c r="E53" s="35"/>
      <c r="F53" s="35"/>
      <c r="G53" s="34" cm="1">
        <f t="array" ref="G53">G52+H52</f>
        <v>172416.71</v>
      </c>
      <c r="H53" s="150"/>
      <c r="I53" s="76"/>
      <c r="J53" s="151"/>
      <c r="K53" s="16"/>
    </row>
    <row r="54" ht="14.05" customHeight="1">
      <c r="A54" s="9"/>
      <c r="B54" s="177"/>
      <c r="C54" s="22"/>
      <c r="D54" s="22"/>
      <c r="E54" s="22"/>
      <c r="F54" s="22"/>
      <c r="G54" s="152"/>
      <c r="H54" t="s" s="153">
        <v>371</v>
      </c>
      <c r="I54" t="s" s="154">
        <v>8</v>
      </c>
      <c r="J54" t="s" s="155">
        <v>372</v>
      </c>
      <c r="K54" s="16"/>
    </row>
    <row r="55" ht="13.55" customHeight="1">
      <c r="A55" s="9"/>
      <c r="B55" s="178"/>
      <c r="C55" s="7"/>
      <c r="D55" s="7"/>
      <c r="E55" t="s" s="26">
        <v>373</v>
      </c>
      <c r="F55" s="144" cm="1">
        <f t="array" ref="F55">500+500+500+500+750+1000+1000+500+500+1000</f>
        <v>6750</v>
      </c>
      <c r="G55" t="s" s="156">
        <v>8</v>
      </c>
      <c r="H55" t="s" s="25">
        <v>374</v>
      </c>
      <c r="I55" s="157" cm="1">
        <f t="array" ref="I55">G16+G17</f>
        <v>1000</v>
      </c>
      <c r="J55" s="158">
        <v>56700</v>
      </c>
      <c r="K55" s="16"/>
    </row>
    <row r="56" ht="13.55" customHeight="1">
      <c r="A56" s="9"/>
      <c r="B56" s="178"/>
      <c r="C56" s="7"/>
      <c r="D56" s="7"/>
      <c r="E56" t="s" s="26">
        <v>375</v>
      </c>
      <c r="F56" s="144">
        <v>64700</v>
      </c>
      <c r="G56" t="s" s="156">
        <v>8</v>
      </c>
      <c r="H56" t="s" s="159">
        <v>376</v>
      </c>
      <c r="I56" s="160">
        <v>14750</v>
      </c>
      <c r="J56" s="161">
        <v>107300</v>
      </c>
      <c r="K56" s="16"/>
    </row>
    <row r="57" ht="13.55" customHeight="1">
      <c r="A57" s="9"/>
      <c r="B57" s="178"/>
      <c r="C57" s="7"/>
      <c r="D57" s="7"/>
      <c r="E57" t="s" s="26">
        <v>377</v>
      </c>
      <c r="F57" s="144" cm="1">
        <f t="array" ref="F57">G7+G10+G14+G19+G20+G23+G25+G26</f>
        <v>32400</v>
      </c>
      <c r="G57" t="s" s="156">
        <v>8</v>
      </c>
      <c r="H57" t="s" s="159">
        <v>378</v>
      </c>
      <c r="I57" s="160">
        <v>81050</v>
      </c>
      <c r="J57" t="s" s="162">
        <v>8</v>
      </c>
      <c r="K57" s="16"/>
    </row>
    <row r="58" ht="13.55" customHeight="1">
      <c r="A58" s="9"/>
      <c r="B58" s="178"/>
      <c r="C58" s="7"/>
      <c r="D58" s="7"/>
      <c r="E58" t="s" s="26">
        <v>379</v>
      </c>
      <c r="F58" s="144" cm="1">
        <f t="array" ref="F58">G8+G9+G18+G21</f>
        <v>6616.71</v>
      </c>
      <c r="G58" t="s" s="156">
        <v>8</v>
      </c>
      <c r="H58" t="s" s="159">
        <v>380</v>
      </c>
      <c r="I58" s="160">
        <v>11500</v>
      </c>
      <c r="J58" s="163"/>
      <c r="K58" s="16"/>
    </row>
    <row r="59" ht="13.55" customHeight="1">
      <c r="A59" s="9"/>
      <c r="B59" s="178"/>
      <c r="C59" s="7"/>
      <c r="D59" s="7"/>
      <c r="E59" t="s" s="26">
        <v>57</v>
      </c>
      <c r="F59" s="144" cm="1">
        <f t="array" ref="F59">H52</f>
        <v>0</v>
      </c>
      <c r="G59" t="s" s="156">
        <v>8</v>
      </c>
      <c r="H59" t="s" s="25">
        <v>8</v>
      </c>
      <c r="I59" s="164"/>
      <c r="J59" s="158"/>
      <c r="K59" s="16"/>
    </row>
    <row r="60" ht="15.75" customHeight="1">
      <c r="A60" s="9"/>
      <c r="B60" s="178"/>
      <c r="C60" s="7"/>
      <c r="D60" s="7"/>
      <c r="E60" t="s" s="26">
        <v>381</v>
      </c>
      <c r="F60" s="144" cm="1">
        <f t="array" ref="F60">I57+I58</f>
        <v>92550</v>
      </c>
      <c r="G60" s="9"/>
      <c r="H60" t="s" s="165">
        <v>8</v>
      </c>
      <c r="I60" s="166" cm="1">
        <f t="array" ref="I60">I58+I57+I56+I55</f>
        <v>108300</v>
      </c>
      <c r="J60" s="167" cm="1">
        <f t="array" ref="J60">J56+J55</f>
        <v>164000</v>
      </c>
      <c r="K60" s="16"/>
    </row>
    <row r="61" ht="14.05" customHeight="1">
      <c r="A61" s="9"/>
      <c r="B61" s="178"/>
      <c r="C61" s="7"/>
      <c r="D61" s="7"/>
      <c r="E61" s="7"/>
      <c r="F61" s="144" cm="1">
        <f t="array" ref="F61">SUM(F55:F60)</f>
        <v>203016.71</v>
      </c>
      <c r="G61" t="s" s="26">
        <v>8</v>
      </c>
      <c r="H61" t="s" s="168">
        <v>8</v>
      </c>
      <c r="I61" s="78"/>
      <c r="J61" s="169"/>
      <c r="K61" s="16"/>
    </row>
    <row r="62" ht="15.75" customHeight="1">
      <c r="A62" s="9"/>
      <c r="B62" s="179"/>
      <c r="C62" s="8"/>
      <c r="D62" s="8"/>
      <c r="E62" s="8"/>
      <c r="F62" s="8"/>
      <c r="G62" s="8"/>
      <c r="H62" s="170"/>
      <c r="I62" s="8"/>
      <c r="J62" s="171"/>
      <c r="K62" s="1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J80"/>
  <sheetViews>
    <sheetView workbookViewId="0" showGridLines="0" defaultGridColor="1"/>
  </sheetViews>
  <sheetFormatPr defaultColWidth="10.8333" defaultRowHeight="15" customHeight="1" outlineLevelRow="0" outlineLevelCol="0"/>
  <cols>
    <col min="1" max="4" width="10.8516" style="180" customWidth="1"/>
    <col min="5" max="5" width="30.1719" style="180" customWidth="1"/>
    <col min="6" max="6" width="38.5" style="180" customWidth="1"/>
    <col min="7" max="7" width="15" style="180" customWidth="1"/>
    <col min="8" max="8" width="10.8516" style="180" customWidth="1"/>
    <col min="9" max="9" width="18" style="180" customWidth="1"/>
    <col min="10" max="10" width="16.5" style="180" customWidth="1"/>
    <col min="11" max="16384" width="10.8516" style="180" customWidth="1"/>
  </cols>
  <sheetData>
    <row r="1" ht="15.75" customHeight="1">
      <c r="A1" t="s" s="26">
        <v>8</v>
      </c>
      <c r="B1" s="8"/>
      <c r="C1" s="8"/>
      <c r="D1" s="8"/>
      <c r="E1" s="8"/>
      <c r="F1" s="8"/>
      <c r="G1" s="8"/>
      <c r="H1" s="8"/>
      <c r="I1" s="8"/>
      <c r="J1" s="8"/>
    </row>
    <row r="2" ht="18" customHeight="1">
      <c r="A2" s="9"/>
      <c r="B2" t="s" s="107">
        <v>77</v>
      </c>
      <c r="C2" s="108"/>
      <c r="D2" s="108"/>
      <c r="E2" s="85"/>
      <c r="F2" s="84"/>
      <c r="G2" s="84"/>
      <c r="H2" s="84"/>
      <c r="I2" s="85"/>
      <c r="J2" s="146"/>
    </row>
    <row r="3" ht="18" customHeight="1">
      <c r="A3" s="9"/>
      <c r="B3" t="s" s="86">
        <v>86</v>
      </c>
      <c r="C3" s="87"/>
      <c r="D3" s="87"/>
      <c r="E3" s="88"/>
      <c r="F3" s="88"/>
      <c r="G3" s="88"/>
      <c r="H3" s="113"/>
      <c r="I3" s="88"/>
      <c r="J3" s="147"/>
    </row>
    <row r="4" ht="16.5" customHeight="1">
      <c r="A4" s="9"/>
      <c r="B4" s="110"/>
      <c r="C4" s="89"/>
      <c r="D4" s="89"/>
      <c r="E4" t="s" s="90">
        <v>78</v>
      </c>
      <c r="F4" t="s" s="90">
        <v>52</v>
      </c>
      <c r="G4" s="89"/>
      <c r="H4" t="s" s="90">
        <v>53</v>
      </c>
      <c r="I4" t="s" s="90">
        <v>53</v>
      </c>
      <c r="J4" t="s" s="148">
        <v>53</v>
      </c>
    </row>
    <row r="5" ht="33" customHeight="1">
      <c r="A5" s="9"/>
      <c r="B5" t="s" s="111">
        <v>79</v>
      </c>
      <c r="C5" t="s" s="90">
        <v>54</v>
      </c>
      <c r="D5" t="s" s="90">
        <v>364</v>
      </c>
      <c r="E5" s="89"/>
      <c r="F5" t="s" s="90">
        <v>55</v>
      </c>
      <c r="G5" t="s" s="90">
        <v>8</v>
      </c>
      <c r="H5" t="s" s="90">
        <v>109</v>
      </c>
      <c r="I5" t="s" s="90">
        <v>365</v>
      </c>
      <c r="J5" t="s" s="148">
        <v>366</v>
      </c>
    </row>
    <row r="6" ht="16.5" customHeight="1">
      <c r="A6" s="9"/>
      <c r="B6" t="s" s="111">
        <v>8</v>
      </c>
      <c r="C6" t="s" s="94">
        <v>58</v>
      </c>
      <c r="D6" s="149"/>
      <c r="E6" t="s" s="95">
        <v>8</v>
      </c>
      <c r="F6" s="89"/>
      <c r="G6" t="s" s="96">
        <v>59</v>
      </c>
      <c r="H6" s="97"/>
      <c r="I6" t="s" s="90">
        <v>8</v>
      </c>
      <c r="J6" s="147">
        <v>1195817.89</v>
      </c>
    </row>
    <row r="7" ht="13.55" customHeight="1">
      <c r="A7" s="9"/>
      <c r="B7" s="112">
        <v>45720</v>
      </c>
      <c r="C7" t="s" s="19">
        <v>87</v>
      </c>
      <c r="D7" t="s" s="19">
        <v>367</v>
      </c>
      <c r="E7" t="s" s="80">
        <v>60</v>
      </c>
      <c r="F7" t="s" s="80">
        <v>88</v>
      </c>
      <c r="G7" s="34">
        <v>200</v>
      </c>
      <c r="H7" s="34"/>
      <c r="I7" s="35"/>
      <c r="J7" s="147" cm="1">
        <f t="array" ref="J7">J6+G7</f>
        <v>1196017.89</v>
      </c>
    </row>
    <row r="8" ht="13.55" customHeight="1">
      <c r="A8" s="9"/>
      <c r="B8" s="112">
        <v>45720</v>
      </c>
      <c r="C8" s="98"/>
      <c r="D8" t="s" s="19">
        <v>367</v>
      </c>
      <c r="E8" t="s" s="80">
        <v>60</v>
      </c>
      <c r="F8" t="s" s="80">
        <v>89</v>
      </c>
      <c r="G8" s="34">
        <v>1500</v>
      </c>
      <c r="H8" s="34"/>
      <c r="I8" s="35"/>
      <c r="J8" s="147" cm="1">
        <f t="array" ref="J8">J7+G8</f>
        <v>1197517.89</v>
      </c>
    </row>
    <row r="9" ht="13.55" customHeight="1">
      <c r="A9" s="9"/>
      <c r="B9" s="112">
        <v>45721</v>
      </c>
      <c r="C9" s="100"/>
      <c r="D9" t="s" s="19">
        <v>367</v>
      </c>
      <c r="E9" t="s" s="80">
        <v>60</v>
      </c>
      <c r="F9" t="s" s="80">
        <v>90</v>
      </c>
      <c r="G9" s="34">
        <v>500</v>
      </c>
      <c r="H9" s="34"/>
      <c r="I9" s="35"/>
      <c r="J9" s="147" cm="1">
        <f t="array" ref="J9">J8+G9</f>
        <v>1198017.89</v>
      </c>
    </row>
    <row r="10" ht="13.55" customHeight="1">
      <c r="A10" s="9"/>
      <c r="B10" s="112">
        <v>45726</v>
      </c>
      <c r="C10" s="98">
        <v>1704</v>
      </c>
      <c r="D10" t="s" s="19">
        <v>367</v>
      </c>
      <c r="E10" t="s" s="80">
        <v>60</v>
      </c>
      <c r="F10" t="s" s="80">
        <v>91</v>
      </c>
      <c r="G10" s="34">
        <v>3000</v>
      </c>
      <c r="H10" s="34"/>
      <c r="I10" s="35"/>
      <c r="J10" s="147" cm="1">
        <f t="array" ref="J10">J9+G10</f>
        <v>1201017.89</v>
      </c>
    </row>
    <row r="11" ht="13.55" customHeight="1">
      <c r="A11" s="9"/>
      <c r="B11" s="112">
        <v>45726</v>
      </c>
      <c r="C11" s="98">
        <v>1705</v>
      </c>
      <c r="D11" t="s" s="19">
        <v>367</v>
      </c>
      <c r="E11" t="s" s="80">
        <v>60</v>
      </c>
      <c r="F11" t="s" s="80">
        <v>92</v>
      </c>
      <c r="G11" s="34">
        <v>3000</v>
      </c>
      <c r="H11" s="34"/>
      <c r="I11" s="35"/>
      <c r="J11" s="147" cm="1">
        <f t="array" ref="J11">J10+G11</f>
        <v>1204017.89</v>
      </c>
    </row>
    <row r="12" ht="13.55" customHeight="1">
      <c r="A12" s="9"/>
      <c r="B12" s="112">
        <v>45727</v>
      </c>
      <c r="C12" s="98">
        <v>1706</v>
      </c>
      <c r="D12" t="s" s="19">
        <v>367</v>
      </c>
      <c r="E12" t="s" s="80">
        <v>60</v>
      </c>
      <c r="F12" t="s" s="80">
        <v>93</v>
      </c>
      <c r="G12" s="34">
        <v>500</v>
      </c>
      <c r="H12" s="34"/>
      <c r="I12" s="35"/>
      <c r="J12" s="147" cm="1">
        <f t="array" ref="J12">J11+G12</f>
        <v>1204517.89</v>
      </c>
    </row>
    <row r="13" ht="13.55" customHeight="1">
      <c r="A13" s="9"/>
      <c r="B13" s="112">
        <v>45727</v>
      </c>
      <c r="C13" s="100"/>
      <c r="D13" t="s" s="19">
        <v>367</v>
      </c>
      <c r="E13" t="s" s="80">
        <v>60</v>
      </c>
      <c r="F13" t="s" s="80">
        <v>94</v>
      </c>
      <c r="G13" s="34">
        <v>500</v>
      </c>
      <c r="H13" s="34"/>
      <c r="I13" s="35"/>
      <c r="J13" s="147" cm="1">
        <f t="array" ref="J13">J12+G13</f>
        <v>1205017.89</v>
      </c>
    </row>
    <row r="14" ht="13.55" customHeight="1">
      <c r="A14" s="9"/>
      <c r="B14" s="112">
        <v>45727</v>
      </c>
      <c r="C14" s="98"/>
      <c r="D14" t="s" s="19">
        <v>367</v>
      </c>
      <c r="E14" t="s" s="80">
        <v>60</v>
      </c>
      <c r="F14" t="s" s="80">
        <v>95</v>
      </c>
      <c r="G14" s="34">
        <v>1000</v>
      </c>
      <c r="H14" s="34"/>
      <c r="I14" s="35"/>
      <c r="J14" s="147" cm="1">
        <f t="array" ref="J14">J13+G14</f>
        <v>1206017.89</v>
      </c>
    </row>
    <row r="15" ht="13.55" customHeight="1">
      <c r="A15" s="9"/>
      <c r="B15" s="112">
        <v>45727</v>
      </c>
      <c r="C15" s="100"/>
      <c r="D15" t="s" s="19">
        <v>367</v>
      </c>
      <c r="E15" t="s" s="80">
        <v>60</v>
      </c>
      <c r="F15" t="s" s="80">
        <v>96</v>
      </c>
      <c r="G15" s="34">
        <v>1000</v>
      </c>
      <c r="H15" s="34"/>
      <c r="I15" s="35"/>
      <c r="J15" s="147" cm="1">
        <f t="array" ref="J15">J14+G15</f>
        <v>1207017.89</v>
      </c>
    </row>
    <row r="16" ht="13.55" customHeight="1">
      <c r="A16" s="9"/>
      <c r="B16" s="112">
        <v>45727</v>
      </c>
      <c r="C16" s="100"/>
      <c r="D16" t="s" s="19">
        <v>367</v>
      </c>
      <c r="E16" t="s" s="80">
        <v>60</v>
      </c>
      <c r="F16" t="s" s="80">
        <v>97</v>
      </c>
      <c r="G16" s="34">
        <v>4500</v>
      </c>
      <c r="H16" s="34"/>
      <c r="I16" s="35"/>
      <c r="J16" s="147" cm="1">
        <f t="array" ref="J16">J15+G16</f>
        <v>1211517.89</v>
      </c>
    </row>
    <row r="17" ht="13.55" customHeight="1">
      <c r="A17" s="9"/>
      <c r="B17" s="112">
        <v>45734</v>
      </c>
      <c r="C17" s="98">
        <v>1819</v>
      </c>
      <c r="D17" t="s" s="19">
        <v>367</v>
      </c>
      <c r="E17" t="s" s="80">
        <v>60</v>
      </c>
      <c r="F17" t="s" s="80">
        <v>98</v>
      </c>
      <c r="G17" s="34">
        <v>500</v>
      </c>
      <c r="H17" s="34"/>
      <c r="I17" s="35"/>
      <c r="J17" s="147" cm="1">
        <f t="array" ref="J17">J16+G17</f>
        <v>1212017.89</v>
      </c>
    </row>
    <row r="18" ht="13.55" customHeight="1">
      <c r="A18" s="9"/>
      <c r="B18" s="112">
        <v>45734</v>
      </c>
      <c r="C18" s="98"/>
      <c r="D18" t="s" s="19">
        <v>367</v>
      </c>
      <c r="E18" t="s" s="80">
        <v>99</v>
      </c>
      <c r="F18" t="s" s="80">
        <v>100</v>
      </c>
      <c r="G18" s="34">
        <v>22550</v>
      </c>
      <c r="H18" s="34"/>
      <c r="I18" s="35"/>
      <c r="J18" s="147" cm="1">
        <f t="array" ref="J18">J17+G18</f>
        <v>1234567.89</v>
      </c>
    </row>
    <row r="19" ht="13.55" customHeight="1">
      <c r="A19" s="9"/>
      <c r="B19" s="112">
        <v>45734</v>
      </c>
      <c r="C19" s="98"/>
      <c r="D19" t="s" s="19">
        <v>367</v>
      </c>
      <c r="E19" t="s" s="80">
        <v>99</v>
      </c>
      <c r="F19" t="s" s="80">
        <v>100</v>
      </c>
      <c r="G19" s="34">
        <v>105650</v>
      </c>
      <c r="H19" s="34"/>
      <c r="I19" s="35"/>
      <c r="J19" s="147" cm="1">
        <f t="array" ref="J19">J18+G19</f>
        <v>1340217.89</v>
      </c>
    </row>
    <row r="20" ht="13.55" customHeight="1">
      <c r="A20" s="9"/>
      <c r="B20" s="112">
        <v>45734</v>
      </c>
      <c r="C20" s="98"/>
      <c r="D20" t="s" s="19">
        <v>367</v>
      </c>
      <c r="E20" t="s" s="80">
        <v>99</v>
      </c>
      <c r="F20" t="s" s="80">
        <v>100</v>
      </c>
      <c r="G20" s="34">
        <v>26650</v>
      </c>
      <c r="H20" s="34"/>
      <c r="I20" s="35"/>
      <c r="J20" s="147" cm="1">
        <f t="array" ref="J20">J19+G20</f>
        <v>1366867.89</v>
      </c>
    </row>
    <row r="21" ht="13.55" customHeight="1">
      <c r="A21" s="9"/>
      <c r="B21" s="112">
        <v>45734</v>
      </c>
      <c r="C21" s="98">
        <v>1710</v>
      </c>
      <c r="D21" t="s" s="19">
        <v>367</v>
      </c>
      <c r="E21" t="s" s="80">
        <v>60</v>
      </c>
      <c r="F21" t="s" s="80">
        <v>101</v>
      </c>
      <c r="G21" s="34">
        <v>500</v>
      </c>
      <c r="H21" s="34"/>
      <c r="I21" s="35"/>
      <c r="J21" s="147" cm="1">
        <f t="array" ref="J21">J20+G21</f>
        <v>1367367.89</v>
      </c>
    </row>
    <row r="22" ht="13.55" customHeight="1">
      <c r="A22" s="9"/>
      <c r="B22" s="112">
        <v>45734</v>
      </c>
      <c r="C22" s="98">
        <v>1709</v>
      </c>
      <c r="D22" t="s" s="19">
        <v>367</v>
      </c>
      <c r="E22" t="s" s="80">
        <v>60</v>
      </c>
      <c r="F22" t="s" s="80">
        <v>102</v>
      </c>
      <c r="G22" s="34">
        <v>500</v>
      </c>
      <c r="H22" s="34"/>
      <c r="I22" s="35"/>
      <c r="J22" s="147" cm="1">
        <f t="array" ref="J22">J21+G22</f>
        <v>1367867.89</v>
      </c>
    </row>
    <row r="23" ht="13.55" customHeight="1">
      <c r="A23" s="9"/>
      <c r="B23" s="112">
        <v>45734</v>
      </c>
      <c r="C23" s="98"/>
      <c r="D23" t="s" s="19">
        <v>367</v>
      </c>
      <c r="E23" t="s" s="80">
        <v>60</v>
      </c>
      <c r="F23" t="s" s="80">
        <v>103</v>
      </c>
      <c r="G23" s="34">
        <v>500</v>
      </c>
      <c r="H23" s="34"/>
      <c r="I23" s="35"/>
      <c r="J23" s="147" cm="1">
        <f t="array" ref="J23">J22+G23</f>
        <v>1368367.89</v>
      </c>
    </row>
    <row r="24" ht="13.55" customHeight="1">
      <c r="A24" s="9"/>
      <c r="B24" s="112">
        <v>45735</v>
      </c>
      <c r="C24" s="98">
        <v>1713</v>
      </c>
      <c r="D24" t="s" s="19">
        <v>367</v>
      </c>
      <c r="E24" t="s" s="80">
        <v>104</v>
      </c>
      <c r="F24" t="s" s="80">
        <v>100</v>
      </c>
      <c r="G24" s="34">
        <v>1500</v>
      </c>
      <c r="H24" s="34"/>
      <c r="I24" s="35"/>
      <c r="J24" s="147" cm="1">
        <f t="array" ref="J24">J23+G24</f>
        <v>1369867.89</v>
      </c>
    </row>
    <row r="25" ht="13.55" customHeight="1">
      <c r="A25" s="9"/>
      <c r="B25" s="112">
        <v>45735</v>
      </c>
      <c r="C25" s="98">
        <v>1714</v>
      </c>
      <c r="D25" t="s" s="19">
        <v>367</v>
      </c>
      <c r="E25" t="s" s="80">
        <v>105</v>
      </c>
      <c r="F25" t="s" s="80">
        <v>100</v>
      </c>
      <c r="G25" s="34">
        <v>1500</v>
      </c>
      <c r="H25" s="34"/>
      <c r="I25" s="35"/>
      <c r="J25" s="147" cm="1">
        <f t="array" ref="J25">J24+G25</f>
        <v>1371367.89</v>
      </c>
    </row>
    <row r="26" ht="13.55" customHeight="1">
      <c r="A26" s="9"/>
      <c r="B26" s="112">
        <v>45735</v>
      </c>
      <c r="C26" s="98"/>
      <c r="D26" t="s" s="19">
        <v>367</v>
      </c>
      <c r="E26" t="s" s="80">
        <v>99</v>
      </c>
      <c r="F26" t="s" s="80">
        <v>100</v>
      </c>
      <c r="G26" s="34">
        <v>1500</v>
      </c>
      <c r="H26" s="34"/>
      <c r="I26" s="35"/>
      <c r="J26" s="147" cm="1">
        <f t="array" ref="J26">J25+G26</f>
        <v>1372867.89</v>
      </c>
    </row>
    <row r="27" ht="13.55" customHeight="1">
      <c r="A27" s="9"/>
      <c r="B27" s="112">
        <v>45736</v>
      </c>
      <c r="C27" s="98"/>
      <c r="D27" t="s" s="19">
        <v>367</v>
      </c>
      <c r="E27" t="s" s="80">
        <v>99</v>
      </c>
      <c r="F27" t="s" s="80">
        <v>100</v>
      </c>
      <c r="G27" s="34">
        <v>1250</v>
      </c>
      <c r="H27" s="34"/>
      <c r="I27" s="35"/>
      <c r="J27" s="147" cm="1">
        <f t="array" ref="J27">J26+G27</f>
        <v>1374117.89</v>
      </c>
    </row>
    <row r="28" ht="13.55" customHeight="1">
      <c r="A28" s="9"/>
      <c r="B28" s="112">
        <v>45736</v>
      </c>
      <c r="C28" s="98"/>
      <c r="D28" t="s" s="19">
        <v>367</v>
      </c>
      <c r="E28" t="s" s="80">
        <v>99</v>
      </c>
      <c r="F28" t="s" s="80">
        <v>100</v>
      </c>
      <c r="G28" s="34">
        <v>500</v>
      </c>
      <c r="H28" s="34"/>
      <c r="I28" s="35"/>
      <c r="J28" s="147" cm="1">
        <f t="array" ref="J28">J27+G28</f>
        <v>1374617.89</v>
      </c>
    </row>
    <row r="29" ht="13.55" customHeight="1">
      <c r="A29" s="9"/>
      <c r="B29" s="112">
        <v>45736</v>
      </c>
      <c r="C29" s="98">
        <v>1712</v>
      </c>
      <c r="D29" t="s" s="19">
        <v>367</v>
      </c>
      <c r="E29" t="s" s="80">
        <v>60</v>
      </c>
      <c r="F29" t="s" s="80">
        <v>106</v>
      </c>
      <c r="G29" s="34">
        <v>1000</v>
      </c>
      <c r="H29" s="34"/>
      <c r="I29" s="35"/>
      <c r="J29" s="147" cm="1">
        <f t="array" ref="J29">J28+G29</f>
        <v>1375617.89</v>
      </c>
    </row>
    <row r="30" ht="13.55" customHeight="1">
      <c r="A30" s="9"/>
      <c r="B30" s="112">
        <v>45737</v>
      </c>
      <c r="C30" s="98">
        <v>1711</v>
      </c>
      <c r="D30" t="s" s="19">
        <v>367</v>
      </c>
      <c r="E30" t="s" s="80">
        <v>60</v>
      </c>
      <c r="F30" t="s" s="80">
        <v>107</v>
      </c>
      <c r="G30" s="34">
        <v>1000</v>
      </c>
      <c r="H30" s="34"/>
      <c r="I30" s="35"/>
      <c r="J30" s="147" cm="1">
        <f t="array" ref="J30">J29+G30</f>
        <v>1376617.89</v>
      </c>
    </row>
    <row r="31" ht="13.55" customHeight="1">
      <c r="A31" s="9"/>
      <c r="B31" s="112">
        <v>45740</v>
      </c>
      <c r="C31" s="98"/>
      <c r="D31" t="s" s="19">
        <v>367</v>
      </c>
      <c r="E31" t="s" s="80">
        <v>99</v>
      </c>
      <c r="F31" t="s" s="80">
        <v>100</v>
      </c>
      <c r="G31" s="34">
        <v>500</v>
      </c>
      <c r="H31" s="34"/>
      <c r="I31" s="35"/>
      <c r="J31" s="147" cm="1">
        <f t="array" ref="J31">J30+G31</f>
        <v>1377117.89</v>
      </c>
    </row>
    <row r="32" ht="13.55" customHeight="1">
      <c r="A32" s="9"/>
      <c r="B32" s="112"/>
      <c r="C32" s="98"/>
      <c r="D32" s="98"/>
      <c r="E32" s="35"/>
      <c r="F32" s="35"/>
      <c r="G32" s="34"/>
      <c r="H32" s="34"/>
      <c r="I32" s="35"/>
      <c r="J32" s="147"/>
    </row>
    <row r="33" ht="13.55" customHeight="1">
      <c r="A33" s="9"/>
      <c r="B33" s="112"/>
      <c r="C33" s="98"/>
      <c r="D33" s="98"/>
      <c r="E33" s="35"/>
      <c r="F33" s="35"/>
      <c r="G33" s="34"/>
      <c r="H33" s="34"/>
      <c r="I33" s="34"/>
      <c r="J33" s="147"/>
    </row>
    <row r="34" ht="13.55" customHeight="1">
      <c r="A34" s="7"/>
      <c r="B34" s="181">
        <v>45719</v>
      </c>
      <c r="C34" s="98"/>
      <c r="D34" t="s" s="19">
        <v>368</v>
      </c>
      <c r="E34" t="s" s="80">
        <v>222</v>
      </c>
      <c r="F34" t="s" s="80">
        <v>204</v>
      </c>
      <c r="G34" s="34"/>
      <c r="H34" s="34"/>
      <c r="I34" s="34">
        <v>35000</v>
      </c>
      <c r="J34" s="147" cm="1">
        <f t="array" ref="J34">J31-I34</f>
        <v>1342117.89</v>
      </c>
    </row>
    <row r="35" ht="13.55" customHeight="1">
      <c r="A35" s="7"/>
      <c r="B35" s="182">
        <v>45719</v>
      </c>
      <c r="C35" s="101"/>
      <c r="D35" t="s" s="19">
        <v>368</v>
      </c>
      <c r="E35" t="s" s="80">
        <v>222</v>
      </c>
      <c r="F35" t="s" s="80">
        <v>204</v>
      </c>
      <c r="G35" s="34"/>
      <c r="H35" s="34"/>
      <c r="I35" s="34">
        <v>30000</v>
      </c>
      <c r="J35" s="147" cm="1">
        <f t="array" ref="J35">J34-I35</f>
        <v>1312117.89</v>
      </c>
    </row>
    <row r="36" ht="13.55" customHeight="1">
      <c r="A36" s="7"/>
      <c r="B36" s="182">
        <v>45720</v>
      </c>
      <c r="C36" s="101"/>
      <c r="D36" t="s" s="19">
        <v>368</v>
      </c>
      <c r="E36" t="s" s="80">
        <v>223</v>
      </c>
      <c r="F36" t="s" s="80">
        <v>224</v>
      </c>
      <c r="G36" s="34"/>
      <c r="H36" s="34"/>
      <c r="I36" s="34">
        <v>93960</v>
      </c>
      <c r="J36" s="147" cm="1">
        <f t="array" ref="J36">J35-I36</f>
        <v>1218157.89</v>
      </c>
    </row>
    <row r="37" ht="13.55" customHeight="1">
      <c r="A37" s="7"/>
      <c r="B37" s="182">
        <v>45723</v>
      </c>
      <c r="C37" s="101"/>
      <c r="D37" t="s" s="19">
        <v>368</v>
      </c>
      <c r="E37" t="s" s="80">
        <v>225</v>
      </c>
      <c r="F37" t="s" s="80">
        <v>204</v>
      </c>
      <c r="G37" s="34"/>
      <c r="H37" s="34"/>
      <c r="I37" s="34">
        <v>29000</v>
      </c>
      <c r="J37" s="147" cm="1">
        <f t="array" ref="J37">J36-I37</f>
        <v>1189157.89</v>
      </c>
    </row>
    <row r="38" ht="13.55" customHeight="1">
      <c r="A38" s="7"/>
      <c r="B38" s="182">
        <v>45723</v>
      </c>
      <c r="C38" s="101"/>
      <c r="D38" t="s" s="19">
        <v>368</v>
      </c>
      <c r="E38" t="s" s="80">
        <v>99</v>
      </c>
      <c r="F38" t="s" s="80">
        <v>226</v>
      </c>
      <c r="G38" s="34"/>
      <c r="H38" s="34"/>
      <c r="I38" s="34">
        <v>500</v>
      </c>
      <c r="J38" s="147" cm="1">
        <f t="array" ref="J38">J37-I38</f>
        <v>1188657.89</v>
      </c>
    </row>
    <row r="39" ht="13.55" customHeight="1">
      <c r="A39" s="7"/>
      <c r="B39" s="182">
        <v>45723</v>
      </c>
      <c r="C39" s="101"/>
      <c r="D39" t="s" s="19">
        <v>368</v>
      </c>
      <c r="E39" t="s" s="80">
        <v>99</v>
      </c>
      <c r="F39" t="s" s="80">
        <v>206</v>
      </c>
      <c r="G39" s="34"/>
      <c r="H39" s="34"/>
      <c r="I39" s="34">
        <v>80</v>
      </c>
      <c r="J39" s="147" cm="1">
        <f t="array" ref="J39">J38-I39</f>
        <v>1188577.89</v>
      </c>
    </row>
    <row r="40" ht="13.55" customHeight="1">
      <c r="A40" s="7"/>
      <c r="B40" s="183">
        <v>45727</v>
      </c>
      <c r="C40" s="101"/>
      <c r="D40" t="s" s="19">
        <v>368</v>
      </c>
      <c r="E40" t="s" s="80">
        <v>195</v>
      </c>
      <c r="F40" t="s" s="80">
        <v>227</v>
      </c>
      <c r="G40" s="34"/>
      <c r="H40" s="34"/>
      <c r="I40" s="34">
        <v>3670</v>
      </c>
      <c r="J40" s="147" cm="1">
        <f t="array" ref="J40">J39-I40</f>
        <v>1184907.89</v>
      </c>
    </row>
    <row r="41" ht="13.55" customHeight="1">
      <c r="A41" s="9"/>
      <c r="B41" s="112">
        <v>45727</v>
      </c>
      <c r="C41" s="101"/>
      <c r="D41" t="s" s="19">
        <v>368</v>
      </c>
      <c r="E41" t="s" s="80">
        <v>195</v>
      </c>
      <c r="F41" t="s" s="80">
        <v>228</v>
      </c>
      <c r="G41" s="34"/>
      <c r="H41" s="34"/>
      <c r="I41" s="34">
        <v>1100</v>
      </c>
      <c r="J41" s="147" cm="1">
        <f t="array" ref="J41">J40-I41</f>
        <v>1183807.89</v>
      </c>
    </row>
    <row r="42" ht="13.55" customHeight="1">
      <c r="A42" s="9"/>
      <c r="B42" s="112">
        <v>45727</v>
      </c>
      <c r="C42" t="s" s="80">
        <v>8</v>
      </c>
      <c r="D42" t="s" s="19">
        <v>368</v>
      </c>
      <c r="E42" t="s" s="80">
        <v>229</v>
      </c>
      <c r="F42" t="s" s="80">
        <v>230</v>
      </c>
      <c r="G42" s="34"/>
      <c r="H42" s="34"/>
      <c r="I42" s="34">
        <v>13272.32</v>
      </c>
      <c r="J42" s="147" cm="1">
        <f t="array" ref="J42">J41-I42</f>
        <v>1170535.57</v>
      </c>
    </row>
    <row r="43" ht="13.55" customHeight="1">
      <c r="A43" s="9"/>
      <c r="B43" s="112">
        <v>45727</v>
      </c>
      <c r="C43" s="101"/>
      <c r="D43" t="s" s="19">
        <v>368</v>
      </c>
      <c r="E43" t="s" s="80">
        <v>231</v>
      </c>
      <c r="F43" t="s" s="80">
        <v>232</v>
      </c>
      <c r="G43" s="34"/>
      <c r="H43" s="34"/>
      <c r="I43" s="34">
        <v>4640</v>
      </c>
      <c r="J43" s="147" cm="1">
        <f t="array" ref="J43">J42-I43</f>
        <v>1165895.57</v>
      </c>
    </row>
    <row r="44" ht="13.55" customHeight="1">
      <c r="A44" s="9"/>
      <c r="B44" s="112">
        <v>45734</v>
      </c>
      <c r="C44" s="101"/>
      <c r="D44" t="s" s="19">
        <v>368</v>
      </c>
      <c r="E44" t="s" s="80">
        <v>233</v>
      </c>
      <c r="F44" t="s" s="80">
        <v>219</v>
      </c>
      <c r="G44" s="34"/>
      <c r="H44" s="34"/>
      <c r="I44" s="34">
        <v>14002.08</v>
      </c>
      <c r="J44" s="147" cm="1">
        <f t="array" ref="J44">J43-I44</f>
        <v>1151893.49</v>
      </c>
    </row>
    <row r="45" ht="13.55" customHeight="1">
      <c r="A45" s="9"/>
      <c r="B45" s="112">
        <v>45734</v>
      </c>
      <c r="C45" s="101"/>
      <c r="D45" t="s" s="19">
        <v>368</v>
      </c>
      <c r="E45" t="s" s="80">
        <v>99</v>
      </c>
      <c r="F45" t="s" s="80">
        <v>234</v>
      </c>
      <c r="G45" s="34"/>
      <c r="H45" s="34"/>
      <c r="I45" s="34">
        <v>10</v>
      </c>
      <c r="J45" s="147" cm="1">
        <f t="array" ref="J45">J44-I45</f>
        <v>1151883.49</v>
      </c>
    </row>
    <row r="46" ht="13.55" customHeight="1">
      <c r="A46" s="9"/>
      <c r="B46" s="112">
        <v>45734</v>
      </c>
      <c r="C46" s="101"/>
      <c r="D46" t="s" s="19">
        <v>368</v>
      </c>
      <c r="E46" t="s" s="80">
        <v>99</v>
      </c>
      <c r="F46" t="s" s="80">
        <v>206</v>
      </c>
      <c r="G46" s="34"/>
      <c r="H46" s="34"/>
      <c r="I46" s="34">
        <v>1.6</v>
      </c>
      <c r="J46" s="147" cm="1">
        <f t="array" ref="J46">J45-I46</f>
        <v>1151881.89</v>
      </c>
    </row>
    <row r="47" ht="13.55" customHeight="1">
      <c r="A47" s="9"/>
      <c r="B47" s="112">
        <v>45734</v>
      </c>
      <c r="C47" s="101"/>
      <c r="D47" t="s" s="19">
        <v>368</v>
      </c>
      <c r="E47" t="s" s="80">
        <v>99</v>
      </c>
      <c r="F47" t="s" s="80">
        <v>235</v>
      </c>
      <c r="G47" s="34"/>
      <c r="H47" s="34"/>
      <c r="I47" s="34">
        <v>665.23</v>
      </c>
      <c r="J47" s="147" cm="1">
        <f t="array" ref="J47">J46-I47</f>
        <v>1151216.66</v>
      </c>
    </row>
    <row r="48" ht="13.55" customHeight="1">
      <c r="A48" s="9"/>
      <c r="B48" s="112">
        <v>45734</v>
      </c>
      <c r="C48" s="101"/>
      <c r="D48" t="s" s="19">
        <v>368</v>
      </c>
      <c r="E48" t="s" s="80">
        <v>99</v>
      </c>
      <c r="F48" t="s" s="80">
        <v>236</v>
      </c>
      <c r="G48" s="34"/>
      <c r="H48" s="34"/>
      <c r="I48" s="34">
        <v>106.44</v>
      </c>
      <c r="J48" s="147" cm="1">
        <f t="array" ref="J48">J47-I48</f>
        <v>1151110.22</v>
      </c>
    </row>
    <row r="49" ht="13.55" customHeight="1">
      <c r="A49" s="9"/>
      <c r="B49" s="112">
        <v>45734</v>
      </c>
      <c r="C49" s="101"/>
      <c r="D49" t="s" s="19">
        <v>368</v>
      </c>
      <c r="E49" t="s" s="80">
        <v>99</v>
      </c>
      <c r="F49" t="s" s="80">
        <v>235</v>
      </c>
      <c r="G49" s="34"/>
      <c r="H49" s="34"/>
      <c r="I49" s="34">
        <v>2117.75</v>
      </c>
      <c r="J49" s="147" cm="1">
        <f t="array" ref="J49">J48-I49</f>
        <v>1148992.47</v>
      </c>
    </row>
    <row r="50" ht="13.55" customHeight="1">
      <c r="A50" s="9"/>
      <c r="B50" s="112">
        <v>45734</v>
      </c>
      <c r="C50" s="101"/>
      <c r="D50" t="s" s="19">
        <v>368</v>
      </c>
      <c r="E50" t="s" s="80">
        <v>99</v>
      </c>
      <c r="F50" t="s" s="80">
        <v>236</v>
      </c>
      <c r="G50" s="34"/>
      <c r="H50" s="34"/>
      <c r="I50" s="34">
        <v>338.84</v>
      </c>
      <c r="J50" s="147" cm="1">
        <f t="array" ref="J50">J49-I50</f>
        <v>1148653.63</v>
      </c>
    </row>
    <row r="51" ht="13.55" customHeight="1">
      <c r="A51" s="9"/>
      <c r="B51" s="112">
        <v>45735</v>
      </c>
      <c r="C51" s="101"/>
      <c r="D51" t="s" s="19">
        <v>368</v>
      </c>
      <c r="E51" t="s" s="80">
        <v>99</v>
      </c>
      <c r="F51" t="s" s="80">
        <v>237</v>
      </c>
      <c r="G51" s="34"/>
      <c r="H51" s="34"/>
      <c r="I51" s="34">
        <v>0</v>
      </c>
      <c r="J51" s="147" cm="1">
        <f t="array" ref="J51">J50-I51</f>
        <v>1148653.63</v>
      </c>
    </row>
    <row r="52" ht="13.55" customHeight="1">
      <c r="A52" s="9"/>
      <c r="B52" s="112">
        <v>45735</v>
      </c>
      <c r="C52" s="101"/>
      <c r="D52" t="s" s="19">
        <v>368</v>
      </c>
      <c r="E52" t="s" s="80">
        <v>99</v>
      </c>
      <c r="F52" t="s" s="80">
        <v>235</v>
      </c>
      <c r="G52" s="34"/>
      <c r="H52" s="34"/>
      <c r="I52" s="34">
        <v>506.35</v>
      </c>
      <c r="J52" s="147" cm="1">
        <f t="array" ref="J52">J51-I52</f>
        <v>1148147.28</v>
      </c>
    </row>
    <row r="53" ht="13.55" customHeight="1">
      <c r="A53" s="9"/>
      <c r="B53" s="112">
        <v>45735</v>
      </c>
      <c r="C53" s="101"/>
      <c r="D53" t="s" s="19">
        <v>368</v>
      </c>
      <c r="E53" t="s" s="80">
        <v>99</v>
      </c>
      <c r="F53" t="s" s="80">
        <v>236</v>
      </c>
      <c r="G53" s="34"/>
      <c r="H53" s="34"/>
      <c r="I53" s="34">
        <v>80.98999999999999</v>
      </c>
      <c r="J53" s="147" cm="1">
        <f t="array" ref="J53">J52-I53</f>
        <v>1148066.29</v>
      </c>
    </row>
    <row r="54" ht="13.55" customHeight="1">
      <c r="A54" s="9"/>
      <c r="B54" s="112">
        <v>45736</v>
      </c>
      <c r="C54" s="101"/>
      <c r="D54" t="s" s="19">
        <v>368</v>
      </c>
      <c r="E54" t="s" s="80">
        <v>99</v>
      </c>
      <c r="F54" t="s" s="80">
        <v>235</v>
      </c>
      <c r="G54" s="34"/>
      <c r="H54" s="34"/>
      <c r="I54" s="34">
        <v>28.5</v>
      </c>
      <c r="J54" s="147" cm="1">
        <f t="array" ref="J54">J53-I54</f>
        <v>1148037.79</v>
      </c>
    </row>
    <row r="55" ht="13.55" customHeight="1">
      <c r="A55" s="9"/>
      <c r="B55" s="112">
        <v>45736</v>
      </c>
      <c r="C55" s="101"/>
      <c r="D55" t="s" s="19">
        <v>368</v>
      </c>
      <c r="E55" t="s" s="80">
        <v>99</v>
      </c>
      <c r="F55" t="s" s="80">
        <v>236</v>
      </c>
      <c r="G55" s="34"/>
      <c r="H55" s="34"/>
      <c r="I55" s="34">
        <v>4.56</v>
      </c>
      <c r="J55" s="147" cm="1">
        <f t="array" ref="J55">J54-I55</f>
        <v>1148033.23</v>
      </c>
    </row>
    <row r="56" ht="13.55" customHeight="1">
      <c r="A56" s="9"/>
      <c r="B56" s="112">
        <v>45736</v>
      </c>
      <c r="C56" s="101"/>
      <c r="D56" t="s" s="19">
        <v>368</v>
      </c>
      <c r="E56" t="s" s="80">
        <v>99</v>
      </c>
      <c r="F56" t="s" s="80">
        <v>237</v>
      </c>
      <c r="G56" s="34"/>
      <c r="H56" s="34"/>
      <c r="I56" s="34">
        <v>0</v>
      </c>
      <c r="J56" s="147" cm="1">
        <f t="array" ref="J56">J55-I56</f>
        <v>1148033.23</v>
      </c>
    </row>
    <row r="57" ht="13.55" customHeight="1">
      <c r="A57" s="9"/>
      <c r="B57" s="112">
        <v>45736</v>
      </c>
      <c r="C57" s="101"/>
      <c r="D57" t="s" s="19">
        <v>368</v>
      </c>
      <c r="E57" t="s" s="80">
        <v>99</v>
      </c>
      <c r="F57" t="s" s="80">
        <v>235</v>
      </c>
      <c r="G57" s="34"/>
      <c r="H57" s="34"/>
      <c r="I57" s="34">
        <v>25</v>
      </c>
      <c r="J57" s="147" cm="1">
        <f t="array" ref="J57">J56-I57</f>
        <v>1148008.23</v>
      </c>
    </row>
    <row r="58" ht="13.55" customHeight="1">
      <c r="A58" s="9"/>
      <c r="B58" s="112">
        <v>45736</v>
      </c>
      <c r="C58" s="101"/>
      <c r="D58" t="s" s="19">
        <v>368</v>
      </c>
      <c r="E58" t="s" s="80">
        <v>99</v>
      </c>
      <c r="F58" t="s" s="80">
        <v>236</v>
      </c>
      <c r="G58" s="34"/>
      <c r="H58" s="34"/>
      <c r="I58" s="34">
        <v>4</v>
      </c>
      <c r="J58" s="147" cm="1">
        <f t="array" ref="J58">J57-I58</f>
        <v>1148004.23</v>
      </c>
    </row>
    <row r="59" ht="13.55" customHeight="1">
      <c r="A59" s="9"/>
      <c r="B59" s="112">
        <v>45736</v>
      </c>
      <c r="C59" s="101"/>
      <c r="D59" t="s" s="19">
        <v>368</v>
      </c>
      <c r="E59" t="s" s="80">
        <v>99</v>
      </c>
      <c r="F59" t="s" s="80">
        <v>237</v>
      </c>
      <c r="G59" s="34"/>
      <c r="H59" s="34"/>
      <c r="I59" s="34">
        <v>0</v>
      </c>
      <c r="J59" s="147" cm="1">
        <f t="array" ref="J59">J58-I59</f>
        <v>1148004.23</v>
      </c>
    </row>
    <row r="60" ht="13.55" customHeight="1">
      <c r="A60" s="9"/>
      <c r="B60" s="112">
        <v>45740</v>
      </c>
      <c r="C60" s="101"/>
      <c r="D60" t="s" s="19">
        <v>368</v>
      </c>
      <c r="E60" t="s" s="80">
        <v>99</v>
      </c>
      <c r="F60" t="s" s="80">
        <v>235</v>
      </c>
      <c r="G60" s="34"/>
      <c r="H60" s="34"/>
      <c r="I60" s="34">
        <v>14.75</v>
      </c>
      <c r="J60" s="147" cm="1">
        <f t="array" ref="J60">J59-I60</f>
        <v>1147989.48</v>
      </c>
    </row>
    <row r="61" ht="13.55" customHeight="1">
      <c r="A61" s="9"/>
      <c r="B61" s="112">
        <v>45740</v>
      </c>
      <c r="C61" s="101"/>
      <c r="D61" t="s" s="19">
        <v>368</v>
      </c>
      <c r="E61" t="s" s="80">
        <v>99</v>
      </c>
      <c r="F61" t="s" s="80">
        <v>236</v>
      </c>
      <c r="G61" s="34"/>
      <c r="H61" s="34"/>
      <c r="I61" s="34">
        <v>2.36</v>
      </c>
      <c r="J61" s="147" cm="1">
        <f t="array" ref="J61">J60-I61</f>
        <v>1147987.12</v>
      </c>
    </row>
    <row r="62" ht="13.55" customHeight="1">
      <c r="A62" s="9"/>
      <c r="B62" s="112">
        <v>45740</v>
      </c>
      <c r="C62" s="101"/>
      <c r="D62" t="s" s="19">
        <v>368</v>
      </c>
      <c r="E62" t="s" s="80">
        <v>99</v>
      </c>
      <c r="F62" t="s" s="80">
        <v>235</v>
      </c>
      <c r="G62" s="34"/>
      <c r="H62" s="34"/>
      <c r="I62" s="34">
        <v>14.75</v>
      </c>
      <c r="J62" s="147" cm="1">
        <f t="array" ref="J62">J61-I62</f>
        <v>1147972.37</v>
      </c>
    </row>
    <row r="63" ht="13.55" customHeight="1">
      <c r="A63" s="9"/>
      <c r="B63" s="112">
        <v>45740</v>
      </c>
      <c r="C63" s="101"/>
      <c r="D63" t="s" s="19">
        <v>368</v>
      </c>
      <c r="E63" t="s" s="80">
        <v>99</v>
      </c>
      <c r="F63" t="s" s="80">
        <v>236</v>
      </c>
      <c r="G63" s="34"/>
      <c r="H63" s="34"/>
      <c r="I63" s="34">
        <v>2.36</v>
      </c>
      <c r="J63" s="147" cm="1">
        <f t="array" ref="J63">J62-I63</f>
        <v>1147970.01</v>
      </c>
    </row>
    <row r="64" ht="13.55" customHeight="1">
      <c r="A64" s="9"/>
      <c r="B64" s="112">
        <v>45744</v>
      </c>
      <c r="C64" s="101"/>
      <c r="D64" t="s" s="19">
        <v>368</v>
      </c>
      <c r="E64" t="s" s="80">
        <v>238</v>
      </c>
      <c r="F64" t="s" s="80">
        <v>239</v>
      </c>
      <c r="G64" s="34"/>
      <c r="H64" s="34"/>
      <c r="I64" s="34">
        <v>2683.54</v>
      </c>
      <c r="J64" s="147" cm="1">
        <f t="array" ref="J64">J63-I64</f>
        <v>1145286.47</v>
      </c>
    </row>
    <row r="65" ht="13.55" customHeight="1">
      <c r="A65" s="9"/>
      <c r="B65" s="112">
        <v>45744</v>
      </c>
      <c r="C65" s="101"/>
      <c r="D65" t="s" s="19">
        <v>368</v>
      </c>
      <c r="E65" t="s" s="80">
        <v>233</v>
      </c>
      <c r="F65" t="s" s="80">
        <v>240</v>
      </c>
      <c r="G65" s="34"/>
      <c r="H65" s="34"/>
      <c r="I65" s="34">
        <v>13973.13</v>
      </c>
      <c r="J65" s="147" cm="1">
        <f t="array" ref="J65">J64-I65</f>
        <v>1131313.34</v>
      </c>
    </row>
    <row r="66" ht="13.55" customHeight="1">
      <c r="A66" s="9"/>
      <c r="B66" s="112">
        <v>45744</v>
      </c>
      <c r="C66" s="101"/>
      <c r="D66" t="s" s="19">
        <v>368</v>
      </c>
      <c r="E66" t="s" s="80">
        <v>99</v>
      </c>
      <c r="F66" t="s" s="80">
        <v>241</v>
      </c>
      <c r="G66" s="34"/>
      <c r="H66" s="34"/>
      <c r="I66" s="34">
        <v>10</v>
      </c>
      <c r="J66" s="147" cm="1">
        <f t="array" ref="J66">J65-I66</f>
        <v>1131303.34</v>
      </c>
    </row>
    <row r="67" ht="13.55" customHeight="1">
      <c r="A67" s="9"/>
      <c r="B67" s="112">
        <v>45747</v>
      </c>
      <c r="C67" s="101"/>
      <c r="D67" t="s" s="19">
        <v>368</v>
      </c>
      <c r="E67" t="s" s="80">
        <v>99</v>
      </c>
      <c r="F67" t="s" s="80">
        <v>242</v>
      </c>
      <c r="G67" s="34"/>
      <c r="H67" s="34"/>
      <c r="I67" s="34">
        <v>1.6</v>
      </c>
      <c r="J67" s="147" cm="1">
        <f t="array" ref="J67">J66-I67</f>
        <v>1131301.74</v>
      </c>
    </row>
    <row r="68" ht="13.55" customHeight="1">
      <c r="A68" s="9"/>
      <c r="B68" s="112">
        <v>45747</v>
      </c>
      <c r="C68" s="101"/>
      <c r="D68" t="s" s="19">
        <v>368</v>
      </c>
      <c r="E68" t="s" s="80">
        <v>99</v>
      </c>
      <c r="F68" t="s" s="80">
        <v>243</v>
      </c>
      <c r="G68" s="34"/>
      <c r="H68" s="34"/>
      <c r="I68" s="34">
        <v>400</v>
      </c>
      <c r="J68" s="147" cm="1">
        <f t="array" ref="J68">J67-I68</f>
        <v>1130901.74</v>
      </c>
    </row>
    <row r="69" ht="13.55" customHeight="1">
      <c r="A69" s="9"/>
      <c r="B69" s="112"/>
      <c r="C69" s="101"/>
      <c r="D69" s="101"/>
      <c r="E69" s="35"/>
      <c r="F69" t="s" s="80">
        <v>244</v>
      </c>
      <c r="G69" s="34"/>
      <c r="H69" s="34"/>
      <c r="I69" s="34">
        <v>64</v>
      </c>
      <c r="J69" s="147" cm="1">
        <f t="array" ref="J69">J68-I69</f>
        <v>1130837.74</v>
      </c>
    </row>
    <row r="70" ht="13.55" customHeight="1">
      <c r="A70" s="9"/>
      <c r="B70" s="112"/>
      <c r="C70" s="35"/>
      <c r="D70" s="35"/>
      <c r="E70" t="s" s="80">
        <v>8</v>
      </c>
      <c r="F70" s="35"/>
      <c r="G70" s="34" cm="1">
        <f t="array" ref="G70">SUM(G7:G58)</f>
        <v>181300</v>
      </c>
      <c r="H70" s="34" cm="1">
        <f t="array" ref="H70">SUM(H7:H58)</f>
        <v>0</v>
      </c>
      <c r="I70" s="34" cm="1">
        <f t="array" ref="I70">SUM(I34:I69)</f>
        <v>246280.15</v>
      </c>
      <c r="J70" s="147"/>
    </row>
    <row r="71" ht="15.75" customHeight="1">
      <c r="A71" s="9"/>
      <c r="B71" s="112"/>
      <c r="C71" s="35"/>
      <c r="D71" s="35"/>
      <c r="E71" s="35"/>
      <c r="F71" s="35"/>
      <c r="G71" s="34" cm="1">
        <f t="array" ref="G71">G70+H70</f>
        <v>181300</v>
      </c>
      <c r="H71" s="150"/>
      <c r="I71" s="76"/>
      <c r="J71" s="151"/>
    </row>
    <row r="72" ht="14.05" customHeight="1">
      <c r="A72" s="9"/>
      <c r="B72" s="177"/>
      <c r="C72" s="22"/>
      <c r="D72" s="22"/>
      <c r="E72" s="22"/>
      <c r="F72" s="184"/>
      <c r="G72" s="152"/>
      <c r="H72" t="s" s="153">
        <v>371</v>
      </c>
      <c r="I72" t="s" s="154">
        <v>8</v>
      </c>
      <c r="J72" t="s" s="155">
        <v>372</v>
      </c>
    </row>
    <row r="73" ht="13.55" customHeight="1">
      <c r="A73" s="9"/>
      <c r="B73" s="178"/>
      <c r="C73" s="7"/>
      <c r="D73" s="7"/>
      <c r="E73" t="s" s="185">
        <v>373</v>
      </c>
      <c r="F73" s="186">
        <v>3750</v>
      </c>
      <c r="G73" t="s" s="187">
        <v>8</v>
      </c>
      <c r="H73" t="s" s="25">
        <v>374</v>
      </c>
      <c r="I73" s="157">
        <v>0</v>
      </c>
      <c r="J73" s="158">
        <v>0</v>
      </c>
    </row>
    <row r="74" ht="13.55" customHeight="1">
      <c r="A74" s="9"/>
      <c r="B74" s="178"/>
      <c r="C74" s="7"/>
      <c r="D74" s="7"/>
      <c r="E74" t="s" s="26">
        <v>375</v>
      </c>
      <c r="F74" s="188">
        <v>61250</v>
      </c>
      <c r="G74" t="s" s="156">
        <v>8</v>
      </c>
      <c r="H74" t="s" s="159">
        <v>376</v>
      </c>
      <c r="I74" s="160">
        <v>0</v>
      </c>
      <c r="J74" s="161">
        <v>0</v>
      </c>
    </row>
    <row r="75" ht="13.55" customHeight="1">
      <c r="A75" s="9"/>
      <c r="B75" s="178"/>
      <c r="C75" s="7"/>
      <c r="D75" s="7"/>
      <c r="E75" t="s" s="26">
        <v>377</v>
      </c>
      <c r="F75" s="157" cm="1">
        <f t="array" ref="F75">G7+G10+G11+G12+G17+G21+G22+G24+G25+G29+G30</f>
        <v>13200</v>
      </c>
      <c r="G75" t="s" s="156">
        <v>8</v>
      </c>
      <c r="H75" t="s" s="159">
        <v>378</v>
      </c>
      <c r="I75" s="160">
        <v>0</v>
      </c>
      <c r="J75" t="s" s="162">
        <v>8</v>
      </c>
    </row>
    <row r="76" ht="13.55" customHeight="1">
      <c r="A76" s="9"/>
      <c r="B76" s="178"/>
      <c r="C76" s="7"/>
      <c r="D76" s="7"/>
      <c r="E76" t="s" s="185">
        <v>57</v>
      </c>
      <c r="F76" s="186" cm="1">
        <f t="array" ref="F76">G8+G9+G13+G14+G15+G16</f>
        <v>9000</v>
      </c>
      <c r="G76" t="s" s="187">
        <v>8</v>
      </c>
      <c r="H76" t="s" s="159">
        <v>380</v>
      </c>
      <c r="I76" s="160">
        <v>0</v>
      </c>
      <c r="J76" s="163"/>
    </row>
    <row r="77" ht="13.55" customHeight="1">
      <c r="A77" s="9"/>
      <c r="B77" s="178"/>
      <c r="C77" s="7"/>
      <c r="D77" s="7"/>
      <c r="E77" t="s" s="185">
        <v>381</v>
      </c>
      <c r="F77" s="186" cm="1">
        <f t="array" ref="F77">500+1250+500+500+1500</f>
        <v>4250</v>
      </c>
      <c r="G77" t="s" s="187">
        <v>8</v>
      </c>
      <c r="H77" t="s" s="25">
        <v>8</v>
      </c>
      <c r="I77" s="164"/>
      <c r="J77" s="158"/>
    </row>
    <row r="78" ht="15.75" customHeight="1">
      <c r="A78" s="9"/>
      <c r="B78" s="178"/>
      <c r="C78" s="7"/>
      <c r="D78" s="7"/>
      <c r="E78" t="s" s="26">
        <v>384</v>
      </c>
      <c r="F78" s="188" cm="1">
        <f t="array" ref="F78">79850+10000</f>
        <v>89850</v>
      </c>
      <c r="G78" s="9"/>
      <c r="H78" t="s" s="165">
        <v>8</v>
      </c>
      <c r="I78" s="166" cm="1">
        <f t="array" ref="I78">I76+I75+I74+I73</f>
        <v>0</v>
      </c>
      <c r="J78" s="167" cm="1">
        <f t="array" ref="J78">J74+J73</f>
        <v>0</v>
      </c>
    </row>
    <row r="79" ht="14.05" customHeight="1">
      <c r="A79" s="9"/>
      <c r="B79" s="178"/>
      <c r="C79" s="7"/>
      <c r="D79" s="7"/>
      <c r="E79" s="7"/>
      <c r="F79" s="144" cm="1">
        <f t="array" ref="F79">SUM(F73:F78)</f>
        <v>181300</v>
      </c>
      <c r="G79" t="s" s="26">
        <v>8</v>
      </c>
      <c r="H79" t="s" s="168">
        <v>8</v>
      </c>
      <c r="I79" s="78"/>
      <c r="J79" s="169"/>
    </row>
    <row r="80" ht="15.75" customHeight="1">
      <c r="A80" s="9"/>
      <c r="B80" s="179"/>
      <c r="C80" s="8"/>
      <c r="D80" s="8"/>
      <c r="E80" s="8"/>
      <c r="F80" s="8"/>
      <c r="G80" s="8"/>
      <c r="H80" s="170"/>
      <c r="I80" s="8"/>
      <c r="J80" s="17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N59"/>
  <sheetViews>
    <sheetView workbookViewId="0" showGridLines="0" defaultGridColor="1"/>
  </sheetViews>
  <sheetFormatPr defaultColWidth="10.8333" defaultRowHeight="15" customHeight="1" outlineLevelRow="0" outlineLevelCol="0"/>
  <cols>
    <col min="1" max="4" width="10.8516" style="189" customWidth="1"/>
    <col min="5" max="5" width="26" style="189" customWidth="1"/>
    <col min="6" max="6" width="42.5" style="189" customWidth="1"/>
    <col min="7" max="8" width="10.8516" style="189" customWidth="1"/>
    <col min="9" max="9" width="16.6719" style="189" customWidth="1"/>
    <col min="10" max="10" width="17.3516" style="189" customWidth="1"/>
    <col min="11" max="14" width="10.8516" style="189" customWidth="1"/>
    <col min="15" max="16384" width="10.8516" style="189" customWidth="1"/>
  </cols>
  <sheetData>
    <row r="1" ht="15.75" customHeight="1">
      <c r="A1" t="s" s="26">
        <v>8</v>
      </c>
      <c r="B1" s="8"/>
      <c r="C1" s="8"/>
      <c r="D1" s="8"/>
      <c r="E1" s="8"/>
      <c r="F1" s="8"/>
      <c r="G1" s="8"/>
      <c r="H1" s="8"/>
      <c r="I1" s="8"/>
      <c r="J1" s="8"/>
      <c r="K1" s="7"/>
      <c r="L1" s="7"/>
      <c r="M1" s="7"/>
      <c r="N1" s="7"/>
    </row>
    <row r="2" ht="18" customHeight="1">
      <c r="A2" s="9"/>
      <c r="B2" t="s" s="107">
        <v>77</v>
      </c>
      <c r="C2" s="108"/>
      <c r="D2" s="108"/>
      <c r="E2" s="85"/>
      <c r="F2" s="84"/>
      <c r="G2" s="84"/>
      <c r="H2" s="84"/>
      <c r="I2" s="85"/>
      <c r="J2" s="146"/>
      <c r="K2" s="16"/>
      <c r="L2" s="7"/>
      <c r="M2" s="7"/>
      <c r="N2" s="7"/>
    </row>
    <row r="3" ht="18" customHeight="1">
      <c r="A3" s="9"/>
      <c r="B3" t="s" s="86">
        <v>108</v>
      </c>
      <c r="C3" s="87"/>
      <c r="D3" s="87"/>
      <c r="E3" s="88"/>
      <c r="F3" s="88"/>
      <c r="G3" s="88"/>
      <c r="H3" s="113"/>
      <c r="I3" s="88"/>
      <c r="J3" s="147"/>
      <c r="K3" s="16"/>
      <c r="L3" s="7"/>
      <c r="M3" s="7"/>
      <c r="N3" s="7"/>
    </row>
    <row r="4" ht="16.5" customHeight="1">
      <c r="A4" s="9"/>
      <c r="B4" s="110"/>
      <c r="C4" s="89"/>
      <c r="D4" s="89"/>
      <c r="E4" t="s" s="90">
        <v>78</v>
      </c>
      <c r="F4" t="s" s="90">
        <v>52</v>
      </c>
      <c r="G4" s="89"/>
      <c r="H4" t="s" s="90">
        <v>53</v>
      </c>
      <c r="I4" t="s" s="90">
        <v>53</v>
      </c>
      <c r="J4" t="s" s="148">
        <v>53</v>
      </c>
      <c r="K4" s="16"/>
      <c r="L4" s="7"/>
      <c r="M4" s="7"/>
      <c r="N4" s="7"/>
    </row>
    <row r="5" ht="33" customHeight="1">
      <c r="A5" s="9"/>
      <c r="B5" t="s" s="111">
        <v>79</v>
      </c>
      <c r="C5" t="s" s="90">
        <v>54</v>
      </c>
      <c r="D5" t="s" s="90">
        <v>364</v>
      </c>
      <c r="E5" s="114">
        <v>12061001385</v>
      </c>
      <c r="F5" t="s" s="90">
        <v>55</v>
      </c>
      <c r="G5" t="s" s="90">
        <v>8</v>
      </c>
      <c r="H5" t="s" s="90">
        <v>109</v>
      </c>
      <c r="I5" t="s" s="90">
        <v>365</v>
      </c>
      <c r="J5" t="s" s="148">
        <v>366</v>
      </c>
      <c r="K5" s="16"/>
      <c r="L5" s="7"/>
      <c r="M5" s="7"/>
      <c r="N5" s="7"/>
    </row>
    <row r="6" ht="27" customHeight="1">
      <c r="A6" s="9"/>
      <c r="B6" t="s" s="111">
        <v>8</v>
      </c>
      <c r="C6" t="s" s="94">
        <v>58</v>
      </c>
      <c r="D6" s="149"/>
      <c r="E6" t="s" s="95">
        <v>8</v>
      </c>
      <c r="F6" s="89"/>
      <c r="G6" t="s" s="96">
        <v>59</v>
      </c>
      <c r="H6" s="97"/>
      <c r="I6" t="s" s="90">
        <v>8</v>
      </c>
      <c r="J6" s="147" cm="1">
        <f t="array" ref="J6">1131337.74-500</f>
        <v>1130837.74</v>
      </c>
      <c r="K6" s="16"/>
      <c r="L6" s="7"/>
      <c r="M6" s="7"/>
      <c r="N6" s="7"/>
    </row>
    <row r="7" ht="13.55" customHeight="1">
      <c r="A7" s="9"/>
      <c r="B7" s="112">
        <v>45748</v>
      </c>
      <c r="C7" s="98"/>
      <c r="D7" t="s" s="19">
        <v>367</v>
      </c>
      <c r="E7" t="s" s="80">
        <v>60</v>
      </c>
      <c r="F7" t="s" s="80">
        <v>110</v>
      </c>
      <c r="G7" s="34">
        <v>0</v>
      </c>
      <c r="H7" s="34">
        <v>500</v>
      </c>
      <c r="I7" s="35"/>
      <c r="J7" s="147" cm="1">
        <f t="array" ref="J7">J6+H7</f>
        <v>1131337.74</v>
      </c>
      <c r="K7" s="16"/>
      <c r="L7" s="7"/>
      <c r="M7" s="7"/>
      <c r="N7" s="7"/>
    </row>
    <row r="8" ht="13.55" customHeight="1">
      <c r="A8" s="9"/>
      <c r="B8" s="112">
        <v>45748</v>
      </c>
      <c r="C8" s="98"/>
      <c r="D8" t="s" s="19">
        <v>367</v>
      </c>
      <c r="E8" t="s" s="80">
        <v>60</v>
      </c>
      <c r="F8" t="s" s="80">
        <v>111</v>
      </c>
      <c r="G8" s="99">
        <v>0</v>
      </c>
      <c r="H8" s="34">
        <v>1500</v>
      </c>
      <c r="I8" s="35"/>
      <c r="J8" s="147" cm="1">
        <f t="array" ref="J8">J7+H8</f>
        <v>1132837.74</v>
      </c>
      <c r="K8" s="16"/>
      <c r="L8" s="7"/>
      <c r="M8" s="7"/>
      <c r="N8" s="7"/>
    </row>
    <row r="9" ht="13.55" customHeight="1">
      <c r="A9" s="9"/>
      <c r="B9" s="112">
        <v>45754</v>
      </c>
      <c r="C9" s="100"/>
      <c r="D9" t="s" s="19">
        <v>367</v>
      </c>
      <c r="E9" t="s" s="80">
        <v>60</v>
      </c>
      <c r="F9" t="s" s="80">
        <v>112</v>
      </c>
      <c r="G9" s="99">
        <v>0</v>
      </c>
      <c r="H9" s="34">
        <v>500</v>
      </c>
      <c r="I9" s="35"/>
      <c r="J9" s="147" cm="1">
        <f t="array" ref="J9">J8+H9</f>
        <v>1133337.74</v>
      </c>
      <c r="K9" s="16"/>
      <c r="L9" s="7"/>
      <c r="M9" s="7"/>
      <c r="N9" s="7"/>
    </row>
    <row r="10" ht="13.55" customHeight="1">
      <c r="A10" s="9"/>
      <c r="B10" s="112">
        <v>45751</v>
      </c>
      <c r="C10" s="98"/>
      <c r="D10" t="s" s="19">
        <v>367</v>
      </c>
      <c r="E10" t="s" s="80">
        <v>60</v>
      </c>
      <c r="F10" t="s" s="80">
        <v>113</v>
      </c>
      <c r="G10" s="34">
        <v>0</v>
      </c>
      <c r="H10" s="34">
        <v>250</v>
      </c>
      <c r="I10" s="35"/>
      <c r="J10" s="147" cm="1">
        <f t="array" ref="J10">J9+H10</f>
        <v>1133587.74</v>
      </c>
      <c r="K10" s="16"/>
      <c r="L10" s="7"/>
      <c r="M10" s="7"/>
      <c r="N10" s="7"/>
    </row>
    <row r="11" ht="13.55" customHeight="1">
      <c r="A11" s="9"/>
      <c r="B11" s="112">
        <v>45751</v>
      </c>
      <c r="C11" s="98"/>
      <c r="D11" t="s" s="19">
        <v>367</v>
      </c>
      <c r="E11" t="s" s="80">
        <v>60</v>
      </c>
      <c r="F11" t="s" s="80">
        <v>112</v>
      </c>
      <c r="G11" s="34">
        <v>0</v>
      </c>
      <c r="H11" s="34">
        <v>500</v>
      </c>
      <c r="I11" s="35"/>
      <c r="J11" s="147" cm="1">
        <f t="array" ref="J11">J10+H11</f>
        <v>1134087.74</v>
      </c>
      <c r="K11" s="16"/>
      <c r="L11" s="7"/>
      <c r="M11" s="7"/>
      <c r="N11" s="7"/>
    </row>
    <row r="12" ht="13.55" customHeight="1">
      <c r="A12" s="9"/>
      <c r="B12" s="112">
        <v>45763</v>
      </c>
      <c r="C12" t="s" s="19">
        <v>114</v>
      </c>
      <c r="D12" t="s" s="19">
        <v>367</v>
      </c>
      <c r="E12" t="s" s="80">
        <v>60</v>
      </c>
      <c r="F12" t="s" s="80">
        <v>115</v>
      </c>
      <c r="G12" s="34">
        <v>1500</v>
      </c>
      <c r="H12" s="34"/>
      <c r="I12" s="35"/>
      <c r="J12" s="147" cm="1">
        <f t="array" ref="J12">J11+G12</f>
        <v>1135587.74</v>
      </c>
      <c r="K12" s="16"/>
      <c r="L12" s="7"/>
      <c r="M12" s="7"/>
      <c r="N12" s="7"/>
    </row>
    <row r="13" ht="13.55" customHeight="1">
      <c r="A13" s="9"/>
      <c r="B13" s="112">
        <v>45762</v>
      </c>
      <c r="C13" s="100"/>
      <c r="D13" t="s" s="19">
        <v>367</v>
      </c>
      <c r="E13" t="s" s="80">
        <v>99</v>
      </c>
      <c r="F13" t="s" s="80">
        <v>100</v>
      </c>
      <c r="G13" s="99">
        <v>21550</v>
      </c>
      <c r="H13" s="34"/>
      <c r="I13" s="35"/>
      <c r="J13" s="147" cm="1">
        <f t="array" ref="J13">J12+G13</f>
        <v>1157137.74</v>
      </c>
      <c r="K13" s="16"/>
      <c r="L13" s="7"/>
      <c r="M13" s="7"/>
      <c r="N13" s="7"/>
    </row>
    <row r="14" ht="13.55" customHeight="1">
      <c r="A14" s="9"/>
      <c r="B14" s="112">
        <v>45762</v>
      </c>
      <c r="C14" s="98"/>
      <c r="D14" t="s" s="19">
        <v>367</v>
      </c>
      <c r="E14" t="s" s="80">
        <v>99</v>
      </c>
      <c r="F14" t="s" s="80">
        <v>100</v>
      </c>
      <c r="G14" s="99">
        <v>46800</v>
      </c>
      <c r="H14" s="34"/>
      <c r="I14" s="35"/>
      <c r="J14" s="147" cm="1">
        <f t="array" ref="J14">J13+G14</f>
        <v>1203937.74</v>
      </c>
      <c r="K14" s="16"/>
      <c r="L14" s="7"/>
      <c r="M14" s="7"/>
      <c r="N14" s="7"/>
    </row>
    <row r="15" ht="13.55" customHeight="1">
      <c r="A15" s="9"/>
      <c r="B15" s="112">
        <v>45763</v>
      </c>
      <c r="C15" s="100"/>
      <c r="D15" t="s" s="19">
        <v>367</v>
      </c>
      <c r="E15" t="s" s="80">
        <v>60</v>
      </c>
      <c r="F15" t="s" s="80">
        <v>100</v>
      </c>
      <c r="G15" s="99">
        <v>7800</v>
      </c>
      <c r="H15" s="34"/>
      <c r="I15" s="35"/>
      <c r="J15" s="147" cm="1">
        <f t="array" ref="J15">J14+G15</f>
        <v>1211737.74</v>
      </c>
      <c r="K15" s="16"/>
      <c r="L15" s="7"/>
      <c r="M15" s="7"/>
      <c r="N15" s="7"/>
    </row>
    <row r="16" ht="13.55" customHeight="1">
      <c r="A16" s="9"/>
      <c r="B16" s="112">
        <v>45763</v>
      </c>
      <c r="C16" t="s" s="19">
        <v>116</v>
      </c>
      <c r="D16" t="s" s="19">
        <v>367</v>
      </c>
      <c r="E16" t="s" s="80">
        <v>60</v>
      </c>
      <c r="F16" t="s" s="80">
        <v>117</v>
      </c>
      <c r="G16" s="99">
        <v>500</v>
      </c>
      <c r="H16" s="34"/>
      <c r="I16" s="35"/>
      <c r="J16" s="147" cm="1">
        <f t="array" ref="J16">J15+G16</f>
        <v>1212237.74</v>
      </c>
      <c r="K16" s="16"/>
      <c r="L16" s="7"/>
      <c r="M16" s="7"/>
      <c r="N16" s="7"/>
    </row>
    <row r="17" ht="13.55" customHeight="1">
      <c r="A17" s="9"/>
      <c r="B17" s="112">
        <v>45763</v>
      </c>
      <c r="C17" t="s" s="19">
        <v>118</v>
      </c>
      <c r="D17" t="s" s="19">
        <v>367</v>
      </c>
      <c r="E17" t="s" s="80">
        <v>60</v>
      </c>
      <c r="F17" t="s" s="80">
        <v>119</v>
      </c>
      <c r="G17" s="34">
        <v>1500</v>
      </c>
      <c r="H17" s="34"/>
      <c r="I17" s="35"/>
      <c r="J17" s="147" cm="1">
        <f t="array" ref="J17">J16+G17</f>
        <v>1213737.74</v>
      </c>
      <c r="K17" s="16"/>
      <c r="L17" s="7"/>
      <c r="M17" s="7"/>
      <c r="N17" s="7"/>
    </row>
    <row r="18" ht="13.55" customHeight="1">
      <c r="A18" s="9"/>
      <c r="B18" s="112">
        <v>45763</v>
      </c>
      <c r="C18" t="s" s="19">
        <v>120</v>
      </c>
      <c r="D18" t="s" s="19">
        <v>367</v>
      </c>
      <c r="E18" t="s" s="80">
        <v>60</v>
      </c>
      <c r="F18" t="s" s="80">
        <v>121</v>
      </c>
      <c r="G18" s="115">
        <v>1000</v>
      </c>
      <c r="H18" s="34"/>
      <c r="I18" s="35"/>
      <c r="J18" s="147" cm="1">
        <f t="array" ref="J18">J17+G18</f>
        <v>1214737.74</v>
      </c>
      <c r="K18" s="16"/>
      <c r="L18" s="7"/>
      <c r="M18" s="7"/>
      <c r="N18" s="7"/>
    </row>
    <row r="19" ht="13.55" customHeight="1">
      <c r="A19" s="9"/>
      <c r="B19" s="112">
        <v>45763</v>
      </c>
      <c r="C19" t="s" s="19">
        <v>122</v>
      </c>
      <c r="D19" t="s" s="19">
        <v>367</v>
      </c>
      <c r="E19" t="s" s="80">
        <v>60</v>
      </c>
      <c r="F19" t="s" s="80">
        <v>123</v>
      </c>
      <c r="G19" s="115">
        <v>500</v>
      </c>
      <c r="H19" s="34"/>
      <c r="I19" s="35"/>
      <c r="J19" s="147" cm="1">
        <f t="array" ref="J19">J18+G19</f>
        <v>1215237.74</v>
      </c>
      <c r="K19" s="16"/>
      <c r="L19" s="7"/>
      <c r="M19" s="7"/>
      <c r="N19" s="7"/>
    </row>
    <row r="20" ht="13.55" customHeight="1">
      <c r="A20" s="9"/>
      <c r="B20" s="112">
        <v>45768</v>
      </c>
      <c r="C20" t="s" s="19">
        <v>124</v>
      </c>
      <c r="D20" t="s" s="19">
        <v>367</v>
      </c>
      <c r="E20" t="s" s="80">
        <v>60</v>
      </c>
      <c r="F20" t="s" s="80">
        <v>125</v>
      </c>
      <c r="G20" s="115">
        <v>500</v>
      </c>
      <c r="H20" s="34"/>
      <c r="I20" s="35"/>
      <c r="J20" s="147" cm="1">
        <f t="array" ref="J20">J19+G20</f>
        <v>1215737.74</v>
      </c>
      <c r="K20" s="16"/>
      <c r="L20" s="7"/>
      <c r="M20" s="7"/>
      <c r="N20" s="7"/>
    </row>
    <row r="21" ht="13.55" customHeight="1">
      <c r="A21" s="9"/>
      <c r="B21" s="112">
        <v>45776</v>
      </c>
      <c r="C21" t="s" s="19">
        <v>126</v>
      </c>
      <c r="D21" t="s" s="19">
        <v>367</v>
      </c>
      <c r="E21" t="s" s="80">
        <v>60</v>
      </c>
      <c r="F21" t="s" s="80">
        <v>127</v>
      </c>
      <c r="G21" s="34">
        <v>300</v>
      </c>
      <c r="H21" s="34"/>
      <c r="I21" s="35"/>
      <c r="J21" s="147" cm="1">
        <f t="array" ref="J21">J20+G21</f>
        <v>1216037.74</v>
      </c>
      <c r="K21" s="16"/>
      <c r="L21" s="7"/>
      <c r="M21" s="7"/>
      <c r="N21" s="7"/>
    </row>
    <row r="22" ht="13.55" customHeight="1">
      <c r="A22" s="9"/>
      <c r="B22" s="112">
        <v>45777</v>
      </c>
      <c r="C22" t="s" s="19">
        <v>128</v>
      </c>
      <c r="D22" t="s" s="19">
        <v>367</v>
      </c>
      <c r="E22" t="s" s="80">
        <v>60</v>
      </c>
      <c r="F22" t="s" s="80">
        <v>127</v>
      </c>
      <c r="G22" s="34">
        <v>200</v>
      </c>
      <c r="H22" s="34"/>
      <c r="I22" s="35"/>
      <c r="J22" s="147" cm="1">
        <f t="array" ref="J22">J21+G22</f>
        <v>1216237.74</v>
      </c>
      <c r="K22" s="16"/>
      <c r="L22" s="7"/>
      <c r="M22" s="7"/>
      <c r="N22" s="7"/>
    </row>
    <row r="23" ht="13.55" customHeight="1">
      <c r="A23" s="9"/>
      <c r="B23" s="112"/>
      <c r="C23" s="98"/>
      <c r="D23" s="98"/>
      <c r="E23" s="35"/>
      <c r="F23" s="35"/>
      <c r="G23" s="34"/>
      <c r="H23" s="34"/>
      <c r="I23" s="35"/>
      <c r="J23" s="147"/>
      <c r="K23" s="16"/>
      <c r="L23" s="7"/>
      <c r="M23" s="7"/>
      <c r="N23" s="7"/>
    </row>
    <row r="24" ht="13.55" customHeight="1">
      <c r="A24" s="79"/>
      <c r="B24" s="101">
        <v>45754</v>
      </c>
      <c r="C24" s="98"/>
      <c r="D24" t="s" s="19">
        <v>368</v>
      </c>
      <c r="E24" t="s" s="80">
        <v>222</v>
      </c>
      <c r="F24" t="s" s="80">
        <v>204</v>
      </c>
      <c r="G24" s="34"/>
      <c r="H24" s="34"/>
      <c r="I24" s="34">
        <v>100000</v>
      </c>
      <c r="J24" s="147" cm="1">
        <f t="array" ref="J24">J22-I24</f>
        <v>1116237.74</v>
      </c>
      <c r="K24" s="16"/>
      <c r="L24" s="7"/>
      <c r="M24" s="7"/>
      <c r="N24" s="7"/>
    </row>
    <row r="25" ht="13.55" customHeight="1">
      <c r="A25" s="79"/>
      <c r="B25" s="101">
        <v>45754</v>
      </c>
      <c r="C25" s="98"/>
      <c r="D25" t="s" s="19">
        <v>368</v>
      </c>
      <c r="E25" t="s" s="80">
        <v>246</v>
      </c>
      <c r="F25" t="s" s="80">
        <v>204</v>
      </c>
      <c r="G25" s="34"/>
      <c r="H25" s="34"/>
      <c r="I25" s="34">
        <v>47850</v>
      </c>
      <c r="J25" s="147" cm="1">
        <f t="array" ref="J25">J24-I25</f>
        <v>1068387.74</v>
      </c>
      <c r="K25" s="16"/>
      <c r="L25" s="7"/>
      <c r="M25" s="7"/>
      <c r="N25" s="7"/>
    </row>
    <row r="26" ht="13.55" customHeight="1">
      <c r="A26" s="79"/>
      <c r="B26" s="101">
        <v>45754</v>
      </c>
      <c r="C26" s="101"/>
      <c r="D26" t="s" s="19">
        <v>368</v>
      </c>
      <c r="E26" t="s" s="80">
        <v>247</v>
      </c>
      <c r="F26" t="s" s="80">
        <v>248</v>
      </c>
      <c r="G26" s="34"/>
      <c r="H26" s="34"/>
      <c r="I26" s="34">
        <v>27448.2</v>
      </c>
      <c r="J26" s="147" cm="1">
        <f t="array" ref="J26">J25-I26</f>
        <v>1040939.54</v>
      </c>
      <c r="K26" s="16"/>
      <c r="L26" s="7"/>
      <c r="M26" s="7"/>
      <c r="N26" s="7"/>
    </row>
    <row r="27" ht="13.55" customHeight="1">
      <c r="A27" s="79"/>
      <c r="B27" s="101">
        <v>45755</v>
      </c>
      <c r="C27" s="101"/>
      <c r="D27" t="s" s="19">
        <v>368</v>
      </c>
      <c r="E27" t="s" s="80">
        <v>223</v>
      </c>
      <c r="F27" t="s" s="80">
        <v>224</v>
      </c>
      <c r="G27" s="34"/>
      <c r="H27" s="34"/>
      <c r="I27" s="34">
        <v>120000</v>
      </c>
      <c r="J27" s="147" cm="1">
        <f t="array" ref="J27">J26-I27</f>
        <v>920939.54</v>
      </c>
      <c r="K27" s="16"/>
      <c r="L27" s="7"/>
      <c r="M27" s="7"/>
      <c r="N27" s="7"/>
    </row>
    <row r="28" ht="13.55" customHeight="1">
      <c r="A28" s="79"/>
      <c r="B28" s="101">
        <v>45756</v>
      </c>
      <c r="C28" s="101"/>
      <c r="D28" t="s" s="19">
        <v>368</v>
      </c>
      <c r="E28" t="s" s="80">
        <v>247</v>
      </c>
      <c r="F28" t="s" s="80">
        <v>249</v>
      </c>
      <c r="G28" s="34"/>
      <c r="H28" s="34"/>
      <c r="I28" s="34">
        <v>27448.2</v>
      </c>
      <c r="J28" s="147" cm="1">
        <f t="array" ref="J28">J27-I28</f>
        <v>893491.34</v>
      </c>
      <c r="K28" s="16"/>
      <c r="L28" s="7"/>
      <c r="M28" s="7"/>
      <c r="N28" s="7"/>
    </row>
    <row r="29" ht="13.55" customHeight="1">
      <c r="A29" s="79"/>
      <c r="B29" s="101">
        <v>45756</v>
      </c>
      <c r="C29" s="101"/>
      <c r="D29" t="s" s="19">
        <v>368</v>
      </c>
      <c r="E29" t="s" s="80">
        <v>197</v>
      </c>
      <c r="F29" t="s" s="80">
        <v>250</v>
      </c>
      <c r="G29" s="34"/>
      <c r="H29" s="34"/>
      <c r="I29" s="34">
        <v>14002.08</v>
      </c>
      <c r="J29" s="147" cm="1">
        <f t="array" ref="J29">J28-I29</f>
        <v>879489.26</v>
      </c>
      <c r="K29" s="16"/>
      <c r="L29" s="7"/>
      <c r="M29" s="7"/>
      <c r="N29" t="s" s="26">
        <v>8</v>
      </c>
    </row>
    <row r="30" ht="13.55" customHeight="1">
      <c r="A30" s="79"/>
      <c r="B30" s="101">
        <v>45761</v>
      </c>
      <c r="C30" s="101"/>
      <c r="D30" t="s" s="19">
        <v>368</v>
      </c>
      <c r="E30" t="s" s="80">
        <v>99</v>
      </c>
      <c r="F30" t="s" s="80">
        <v>234</v>
      </c>
      <c r="G30" s="34"/>
      <c r="H30" s="34"/>
      <c r="I30" s="34">
        <v>10</v>
      </c>
      <c r="J30" s="147" cm="1">
        <f t="array" ref="J30">J29-I30</f>
        <v>879479.26</v>
      </c>
      <c r="K30" s="16"/>
      <c r="L30" s="7"/>
      <c r="M30" s="7"/>
      <c r="N30" s="7"/>
    </row>
    <row r="31" ht="13.55" customHeight="1">
      <c r="A31" s="79"/>
      <c r="B31" s="101">
        <v>45761</v>
      </c>
      <c r="C31" s="101"/>
      <c r="D31" t="s" s="19">
        <v>368</v>
      </c>
      <c r="E31" t="s" s="80">
        <v>99</v>
      </c>
      <c r="F31" t="s" s="80">
        <v>251</v>
      </c>
      <c r="G31" s="34"/>
      <c r="H31" s="34"/>
      <c r="I31" s="34">
        <v>1.6</v>
      </c>
      <c r="J31" s="147" cm="1">
        <f t="array" ref="J31">J30-I31</f>
        <v>879477.66</v>
      </c>
      <c r="K31" s="16"/>
      <c r="L31" s="7"/>
      <c r="M31" s="7"/>
      <c r="N31" s="7"/>
    </row>
    <row r="32" ht="13.55" customHeight="1">
      <c r="A32" s="9"/>
      <c r="B32" s="112">
        <v>45763</v>
      </c>
      <c r="C32" s="101"/>
      <c r="D32" t="s" s="19">
        <v>368</v>
      </c>
      <c r="E32" t="s" s="80">
        <v>99</v>
      </c>
      <c r="F32" t="s" s="80">
        <v>235</v>
      </c>
      <c r="G32" s="34"/>
      <c r="H32" s="34"/>
      <c r="I32" s="34">
        <v>101.72</v>
      </c>
      <c r="J32" s="147" cm="1">
        <f t="array" ref="J32">J31-I32</f>
        <v>879375.9399999999</v>
      </c>
      <c r="K32" s="16"/>
      <c r="L32" s="7"/>
      <c r="M32" s="7"/>
      <c r="N32" s="7"/>
    </row>
    <row r="33" ht="13.55" customHeight="1">
      <c r="A33" s="9"/>
      <c r="B33" s="112">
        <v>45763</v>
      </c>
      <c r="C33" s="101"/>
      <c r="D33" t="s" s="19">
        <v>368</v>
      </c>
      <c r="E33" t="s" s="80">
        <v>99</v>
      </c>
      <c r="F33" t="s" s="80">
        <v>236</v>
      </c>
      <c r="G33" s="34"/>
      <c r="H33" s="34"/>
      <c r="I33" s="34">
        <v>635.73</v>
      </c>
      <c r="J33" s="147" cm="1">
        <f t="array" ref="J33">J32-I33</f>
        <v>878740.21</v>
      </c>
      <c r="K33" s="16"/>
      <c r="L33" s="7"/>
      <c r="M33" s="7"/>
      <c r="N33" s="7"/>
    </row>
    <row r="34" ht="13.55" customHeight="1">
      <c r="A34" s="9"/>
      <c r="B34" s="112">
        <v>45763</v>
      </c>
      <c r="C34" s="101"/>
      <c r="D34" t="s" s="19">
        <v>368</v>
      </c>
      <c r="E34" t="s" s="80">
        <v>99</v>
      </c>
      <c r="F34" t="s" s="80">
        <v>235</v>
      </c>
      <c r="G34" s="34"/>
      <c r="H34" s="34"/>
      <c r="I34" s="34">
        <v>936</v>
      </c>
      <c r="J34" s="147" cm="1">
        <f t="array" ref="J34">J33-I34</f>
        <v>877804.21</v>
      </c>
      <c r="K34" s="16"/>
      <c r="L34" s="7"/>
      <c r="M34" s="7"/>
      <c r="N34" s="7"/>
    </row>
    <row r="35" ht="13.55" customHeight="1">
      <c r="A35" s="9"/>
      <c r="B35" s="112">
        <v>45763</v>
      </c>
      <c r="C35" s="101"/>
      <c r="D35" t="s" s="19">
        <v>368</v>
      </c>
      <c r="E35" t="s" s="80">
        <v>99</v>
      </c>
      <c r="F35" t="s" s="80">
        <v>236</v>
      </c>
      <c r="G35" s="34"/>
      <c r="H35" s="34"/>
      <c r="I35" s="34">
        <v>149.76</v>
      </c>
      <c r="J35" s="147" cm="1">
        <f t="array" ref="J35">J34-I35</f>
        <v>877654.45</v>
      </c>
      <c r="K35" s="16"/>
      <c r="L35" s="7"/>
      <c r="M35" s="7"/>
      <c r="N35" s="7"/>
    </row>
    <row r="36" ht="13.55" customHeight="1">
      <c r="A36" s="9"/>
      <c r="B36" s="112">
        <v>45763</v>
      </c>
      <c r="C36" s="101"/>
      <c r="D36" t="s" s="19">
        <v>368</v>
      </c>
      <c r="E36" t="s" s="80">
        <v>99</v>
      </c>
      <c r="F36" t="s" s="80">
        <v>237</v>
      </c>
      <c r="G36" s="34"/>
      <c r="H36" s="34"/>
      <c r="I36" s="34">
        <v>148.2</v>
      </c>
      <c r="J36" s="147" cm="1">
        <f t="array" ref="J36">J35-I36</f>
        <v>877506.25</v>
      </c>
      <c r="K36" s="16"/>
      <c r="L36" s="7"/>
      <c r="M36" s="7"/>
      <c r="N36" s="7"/>
    </row>
    <row r="37" ht="13.55" customHeight="1">
      <c r="A37" s="9"/>
      <c r="B37" s="112">
        <v>45763</v>
      </c>
      <c r="C37" s="101"/>
      <c r="D37" t="s" s="19">
        <v>368</v>
      </c>
      <c r="E37" t="s" s="80">
        <v>99</v>
      </c>
      <c r="F37" t="s" s="80">
        <v>236</v>
      </c>
      <c r="G37" s="34"/>
      <c r="H37" s="34"/>
      <c r="I37" s="34">
        <v>23.7</v>
      </c>
      <c r="J37" s="147" cm="1">
        <f t="array" ref="J37">J36-I37</f>
        <v>877482.55</v>
      </c>
      <c r="K37" s="16"/>
      <c r="L37" s="7"/>
      <c r="M37" s="7"/>
      <c r="N37" s="7"/>
    </row>
    <row r="38" ht="13.55" customHeight="1">
      <c r="A38" s="9"/>
      <c r="B38" s="112">
        <v>45768</v>
      </c>
      <c r="C38" s="101"/>
      <c r="D38" t="s" s="19">
        <v>368</v>
      </c>
      <c r="E38" t="s" s="80">
        <v>99</v>
      </c>
      <c r="F38" t="s" s="80">
        <v>235</v>
      </c>
      <c r="G38" s="34"/>
      <c r="H38" s="34"/>
      <c r="I38" s="34">
        <v>14.75</v>
      </c>
      <c r="J38" s="147" cm="1">
        <f t="array" ref="J38">J37-I38</f>
        <v>877467.8</v>
      </c>
      <c r="K38" s="16"/>
      <c r="L38" s="7"/>
      <c r="M38" s="7"/>
      <c r="N38" s="7"/>
    </row>
    <row r="39" ht="13.55" customHeight="1">
      <c r="A39" s="9"/>
      <c r="B39" s="112">
        <v>45768</v>
      </c>
      <c r="C39" s="101"/>
      <c r="D39" t="s" s="19">
        <v>368</v>
      </c>
      <c r="E39" t="s" s="80">
        <v>99</v>
      </c>
      <c r="F39" t="s" s="80">
        <v>236</v>
      </c>
      <c r="G39" s="34"/>
      <c r="H39" s="34"/>
      <c r="I39" s="34">
        <v>2.36</v>
      </c>
      <c r="J39" s="147" cm="1">
        <f t="array" ref="J39">J38-I39</f>
        <v>877465.4399999999</v>
      </c>
      <c r="K39" s="16"/>
      <c r="L39" s="7"/>
      <c r="M39" s="7"/>
      <c r="N39" s="7"/>
    </row>
    <row r="40" ht="13.55" customHeight="1">
      <c r="A40" s="9"/>
      <c r="B40" s="112">
        <v>45771</v>
      </c>
      <c r="C40" s="101"/>
      <c r="D40" t="s" s="19">
        <v>368</v>
      </c>
      <c r="E40" t="s" s="80">
        <v>252</v>
      </c>
      <c r="F40" t="s" s="80">
        <v>253</v>
      </c>
      <c r="G40" s="34"/>
      <c r="H40" s="34"/>
      <c r="I40" s="34">
        <v>870</v>
      </c>
      <c r="J40" s="147" cm="1">
        <f t="array" ref="J40">J39-I40</f>
        <v>876595.4399999999</v>
      </c>
      <c r="K40" s="16"/>
      <c r="L40" s="7"/>
      <c r="M40" s="7"/>
      <c r="N40" s="7"/>
    </row>
    <row r="41" ht="13.55" customHeight="1">
      <c r="A41" s="9"/>
      <c r="B41" s="112">
        <v>45776</v>
      </c>
      <c r="C41" s="101"/>
      <c r="D41" t="s" s="19">
        <v>368</v>
      </c>
      <c r="E41" t="s" s="80">
        <v>197</v>
      </c>
      <c r="F41" t="s" s="80">
        <v>254</v>
      </c>
      <c r="G41" s="34"/>
      <c r="H41" s="34"/>
      <c r="I41" s="34">
        <v>14002.08</v>
      </c>
      <c r="J41" s="147" cm="1">
        <f t="array" ref="J41">J40-I41</f>
        <v>862593.36</v>
      </c>
      <c r="K41" s="16"/>
      <c r="L41" s="7"/>
      <c r="M41" s="7"/>
      <c r="N41" s="7"/>
    </row>
    <row r="42" ht="13.55" customHeight="1">
      <c r="A42" s="9"/>
      <c r="B42" s="112">
        <v>45776</v>
      </c>
      <c r="C42" s="101"/>
      <c r="D42" t="s" s="19">
        <v>368</v>
      </c>
      <c r="E42" t="s" s="80">
        <v>99</v>
      </c>
      <c r="F42" t="s" s="80">
        <v>234</v>
      </c>
      <c r="G42" s="34"/>
      <c r="H42" s="34"/>
      <c r="I42" s="34">
        <v>10</v>
      </c>
      <c r="J42" s="147" cm="1">
        <f t="array" ref="J42">J41-I42</f>
        <v>862583.36</v>
      </c>
      <c r="K42" s="16"/>
      <c r="L42" s="7"/>
      <c r="M42" s="7"/>
      <c r="N42" s="7"/>
    </row>
    <row r="43" ht="13.55" customHeight="1">
      <c r="A43" s="9"/>
      <c r="B43" s="112">
        <v>45776</v>
      </c>
      <c r="C43" s="101"/>
      <c r="D43" t="s" s="19">
        <v>368</v>
      </c>
      <c r="E43" t="s" s="80">
        <v>99</v>
      </c>
      <c r="F43" t="s" s="80">
        <v>255</v>
      </c>
      <c r="G43" s="34"/>
      <c r="H43" s="34"/>
      <c r="I43" s="34">
        <v>1.6</v>
      </c>
      <c r="J43" s="147" cm="1">
        <f t="array" ref="J43">J42-I43</f>
        <v>862581.76</v>
      </c>
      <c r="K43" s="16"/>
      <c r="L43" s="7"/>
      <c r="M43" s="7"/>
      <c r="N43" s="7"/>
    </row>
    <row r="44" ht="13.55" customHeight="1">
      <c r="A44" s="9"/>
      <c r="B44" s="112"/>
      <c r="C44" s="101"/>
      <c r="D44" s="101"/>
      <c r="E44" t="s" s="80">
        <v>8</v>
      </c>
      <c r="F44" s="35"/>
      <c r="G44" s="34"/>
      <c r="H44" s="34"/>
      <c r="I44" s="34">
        <v>0</v>
      </c>
      <c r="J44" s="147" cm="1">
        <f t="array" ref="J44">J43-I44</f>
        <v>862581.76</v>
      </c>
      <c r="K44" s="16"/>
      <c r="L44" s="7"/>
      <c r="M44" s="7"/>
      <c r="N44" s="7"/>
    </row>
    <row r="45" ht="13.55" customHeight="1">
      <c r="A45" s="9"/>
      <c r="B45" s="112"/>
      <c r="C45" s="101"/>
      <c r="D45" s="101"/>
      <c r="E45" t="s" s="80">
        <v>8</v>
      </c>
      <c r="F45" s="35"/>
      <c r="G45" s="34"/>
      <c r="H45" s="34"/>
      <c r="I45" s="34">
        <v>0</v>
      </c>
      <c r="J45" s="147" cm="1">
        <f t="array" ref="J45">J44-I45</f>
        <v>862581.76</v>
      </c>
      <c r="K45" s="16"/>
      <c r="L45" s="7"/>
      <c r="M45" s="7"/>
      <c r="N45" s="7"/>
    </row>
    <row r="46" ht="13.55" customHeight="1">
      <c r="A46" s="9"/>
      <c r="B46" s="112"/>
      <c r="C46" s="101"/>
      <c r="D46" s="101"/>
      <c r="E46" t="s" s="80">
        <v>259</v>
      </c>
      <c r="F46" s="35"/>
      <c r="G46" s="34"/>
      <c r="H46" s="34"/>
      <c r="I46" s="34">
        <v>0</v>
      </c>
      <c r="J46" s="147" cm="1">
        <f t="array" ref="J46">J45-I46</f>
        <v>862581.76</v>
      </c>
      <c r="K46" s="16"/>
      <c r="L46" s="7"/>
      <c r="M46" s="7"/>
      <c r="N46" s="7"/>
    </row>
    <row r="47" ht="13.55" customHeight="1">
      <c r="A47" s="9"/>
      <c r="B47" s="112"/>
      <c r="C47" s="101"/>
      <c r="D47" s="101"/>
      <c r="E47" t="s" s="80">
        <v>8</v>
      </c>
      <c r="F47" s="35"/>
      <c r="G47" s="34"/>
      <c r="H47" s="34"/>
      <c r="I47" s="34">
        <v>0</v>
      </c>
      <c r="J47" s="147" cm="1">
        <f t="array" ref="J47">J46-I47</f>
        <v>862581.76</v>
      </c>
      <c r="K47" s="16"/>
      <c r="L47" s="7"/>
      <c r="M47" s="7"/>
      <c r="N47" s="7"/>
    </row>
    <row r="48" ht="13.55" customHeight="1">
      <c r="A48" s="9"/>
      <c r="B48" s="112"/>
      <c r="C48" s="101"/>
      <c r="D48" s="101"/>
      <c r="E48" s="35"/>
      <c r="F48" s="35"/>
      <c r="G48" s="34"/>
      <c r="H48" s="34"/>
      <c r="I48" s="34"/>
      <c r="J48" s="147"/>
      <c r="K48" s="16"/>
      <c r="L48" s="7"/>
      <c r="M48" s="7"/>
      <c r="N48" s="7"/>
    </row>
    <row r="49" ht="13.55" customHeight="1">
      <c r="A49" s="9"/>
      <c r="B49" s="112"/>
      <c r="C49" s="35"/>
      <c r="D49" s="35"/>
      <c r="E49" t="s" s="80">
        <v>8</v>
      </c>
      <c r="F49" s="35"/>
      <c r="G49" s="34" cm="1">
        <f t="array" ref="G49">SUM(G7:G47)</f>
        <v>82150</v>
      </c>
      <c r="H49" s="34" cm="1">
        <f t="array" ref="H49">SUM(H7:H47)</f>
        <v>3250</v>
      </c>
      <c r="I49" s="34" cm="1">
        <f t="array" ref="I49">SUM(I24:I47)</f>
        <v>353655.98</v>
      </c>
      <c r="J49" s="147"/>
      <c r="K49" s="16"/>
      <c r="L49" s="7"/>
      <c r="M49" s="7"/>
      <c r="N49" s="7"/>
    </row>
    <row r="50" ht="15.75" customHeight="1">
      <c r="A50" s="9"/>
      <c r="B50" s="112"/>
      <c r="C50" s="35"/>
      <c r="D50" s="35"/>
      <c r="E50" s="35"/>
      <c r="F50" s="35"/>
      <c r="G50" s="34" cm="1">
        <f t="array" ref="G50">G49+H49</f>
        <v>85400</v>
      </c>
      <c r="H50" s="150"/>
      <c r="I50" s="76"/>
      <c r="J50" s="151"/>
      <c r="K50" s="16"/>
      <c r="L50" s="7"/>
      <c r="M50" s="7"/>
      <c r="N50" s="7"/>
    </row>
    <row r="51" ht="14.05" customHeight="1">
      <c r="A51" s="9"/>
      <c r="B51" s="177"/>
      <c r="C51" s="22"/>
      <c r="D51" s="22"/>
      <c r="E51" s="22"/>
      <c r="F51" s="184"/>
      <c r="G51" s="152"/>
      <c r="H51" t="s" s="153">
        <v>371</v>
      </c>
      <c r="I51" t="s" s="154">
        <v>8</v>
      </c>
      <c r="J51" t="s" s="155">
        <v>372</v>
      </c>
      <c r="K51" s="16"/>
      <c r="L51" s="7"/>
      <c r="M51" s="7"/>
      <c r="N51" s="7"/>
    </row>
    <row r="52" ht="13.55" customHeight="1">
      <c r="A52" s="9"/>
      <c r="B52" s="178"/>
      <c r="C52" s="7"/>
      <c r="D52" s="7"/>
      <c r="E52" t="s" s="185">
        <v>373</v>
      </c>
      <c r="F52" s="186" cm="1">
        <f t="array" ref="F52">7800+46800+12550-5750</f>
        <v>61400</v>
      </c>
      <c r="G52" t="s" s="187">
        <v>8</v>
      </c>
      <c r="H52" t="s" s="25">
        <v>374</v>
      </c>
      <c r="I52" s="157">
        <v>0</v>
      </c>
      <c r="J52" s="158">
        <v>0</v>
      </c>
      <c r="K52" s="16"/>
      <c r="L52" s="7"/>
      <c r="M52" s="7"/>
      <c r="N52" s="7"/>
    </row>
    <row r="53" ht="13.55" customHeight="1">
      <c r="A53" s="9"/>
      <c r="B53" s="178"/>
      <c r="C53" s="7"/>
      <c r="D53" s="7"/>
      <c r="E53" t="s" s="26">
        <v>375</v>
      </c>
      <c r="F53" s="188">
        <v>5750</v>
      </c>
      <c r="G53" t="s" s="156">
        <v>8</v>
      </c>
      <c r="H53" t="s" s="159">
        <v>376</v>
      </c>
      <c r="I53" s="160">
        <v>0</v>
      </c>
      <c r="J53" s="161">
        <v>0</v>
      </c>
      <c r="K53" s="16"/>
      <c r="L53" s="7"/>
      <c r="M53" s="7"/>
      <c r="N53" s="7"/>
    </row>
    <row r="54" ht="13.55" customHeight="1">
      <c r="A54" s="9"/>
      <c r="B54" s="178"/>
      <c r="C54" s="7"/>
      <c r="D54" s="7"/>
      <c r="E54" t="s" s="26">
        <v>377</v>
      </c>
      <c r="F54" s="157" cm="1">
        <f t="array" ref="F54">G12+G16+G17+G18+G19+G20+G21+G22</f>
        <v>6000</v>
      </c>
      <c r="G54" t="s" s="156">
        <v>8</v>
      </c>
      <c r="H54" t="s" s="159">
        <v>378</v>
      </c>
      <c r="I54" s="160">
        <v>0</v>
      </c>
      <c r="J54" t="s" s="162">
        <v>8</v>
      </c>
      <c r="K54" s="16"/>
      <c r="L54" s="7"/>
      <c r="M54" s="7"/>
      <c r="N54" s="7"/>
    </row>
    <row r="55" ht="13.55" customHeight="1">
      <c r="A55" s="9"/>
      <c r="B55" s="178"/>
      <c r="C55" s="7"/>
      <c r="D55" s="7"/>
      <c r="E55" t="s" s="185">
        <v>57</v>
      </c>
      <c r="F55" s="186" cm="1">
        <f t="array" ref="F55">H49</f>
        <v>3250</v>
      </c>
      <c r="G55" t="s" s="187">
        <v>8</v>
      </c>
      <c r="H55" t="s" s="159">
        <v>380</v>
      </c>
      <c r="I55" s="160">
        <v>0</v>
      </c>
      <c r="J55" s="163"/>
      <c r="K55" s="16"/>
      <c r="L55" s="7"/>
      <c r="M55" s="7"/>
      <c r="N55" s="7"/>
    </row>
    <row r="56" ht="13.55" customHeight="1">
      <c r="A56" s="9"/>
      <c r="B56" s="178"/>
      <c r="C56" s="7"/>
      <c r="D56" s="7"/>
      <c r="E56" t="s" s="185">
        <v>381</v>
      </c>
      <c r="F56" s="186">
        <v>9000</v>
      </c>
      <c r="G56" t="s" s="187">
        <v>8</v>
      </c>
      <c r="H56" t="s" s="25">
        <v>8</v>
      </c>
      <c r="I56" s="164"/>
      <c r="J56" s="158"/>
      <c r="K56" s="16"/>
      <c r="L56" s="7"/>
      <c r="M56" s="7"/>
      <c r="N56" s="7"/>
    </row>
    <row r="57" ht="15.75" customHeight="1">
      <c r="A57" s="9"/>
      <c r="B57" s="178"/>
      <c r="C57" s="7"/>
      <c r="D57" s="7"/>
      <c r="E57" t="s" s="26">
        <v>384</v>
      </c>
      <c r="F57" s="188">
        <v>0</v>
      </c>
      <c r="G57" s="9"/>
      <c r="H57" t="s" s="165">
        <v>8</v>
      </c>
      <c r="I57" s="166" cm="1">
        <f t="array" ref="I57">I55+I54+I53+I52</f>
        <v>0</v>
      </c>
      <c r="J57" s="167" cm="1">
        <f t="array" ref="J57">J53+J52</f>
        <v>0</v>
      </c>
      <c r="K57" s="16"/>
      <c r="L57" s="7"/>
      <c r="M57" s="7"/>
      <c r="N57" s="7"/>
    </row>
    <row r="58" ht="14.05" customHeight="1">
      <c r="A58" s="9"/>
      <c r="B58" s="178"/>
      <c r="C58" s="7"/>
      <c r="D58" s="7"/>
      <c r="E58" s="7"/>
      <c r="F58" s="144" cm="1">
        <f t="array" ref="F58">SUM(F52:F57)</f>
        <v>85400</v>
      </c>
      <c r="G58" t="s" s="26">
        <v>8</v>
      </c>
      <c r="H58" t="s" s="168">
        <v>8</v>
      </c>
      <c r="I58" s="78"/>
      <c r="J58" s="169"/>
      <c r="K58" s="16"/>
      <c r="L58" s="7"/>
      <c r="M58" s="7"/>
      <c r="N58" s="7"/>
    </row>
    <row r="59" ht="15.75" customHeight="1">
      <c r="A59" s="9"/>
      <c r="B59" s="179"/>
      <c r="C59" s="8"/>
      <c r="D59" s="8"/>
      <c r="E59" s="8"/>
      <c r="F59" s="8"/>
      <c r="G59" s="8"/>
      <c r="H59" s="170"/>
      <c r="I59" s="8"/>
      <c r="J59" s="171"/>
      <c r="K59" s="16"/>
      <c r="L59" s="7"/>
      <c r="M59" s="7"/>
      <c r="N59"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J136"/>
  <sheetViews>
    <sheetView workbookViewId="0" showGridLines="0" defaultGridColor="1"/>
  </sheetViews>
  <sheetFormatPr defaultColWidth="10.8333" defaultRowHeight="15" customHeight="1" outlineLevelRow="0" outlineLevelCol="0"/>
  <cols>
    <col min="1" max="4" width="10.8516" style="190" customWidth="1"/>
    <col min="5" max="5" width="32.6719" style="190" customWidth="1"/>
    <col min="6" max="6" width="35" style="190" customWidth="1"/>
    <col min="7" max="9" width="10.8516" style="190" customWidth="1"/>
    <col min="10" max="10" width="17.3516" style="190" customWidth="1"/>
    <col min="11" max="16384" width="10.8516" style="190" customWidth="1"/>
  </cols>
  <sheetData>
    <row r="1" ht="15.75" customHeight="1">
      <c r="A1" t="s" s="26">
        <v>8</v>
      </c>
      <c r="B1" s="8"/>
      <c r="C1" s="8"/>
      <c r="D1" s="8"/>
      <c r="E1" s="8"/>
      <c r="F1" s="8"/>
      <c r="G1" s="8"/>
      <c r="H1" s="8"/>
      <c r="I1" s="8"/>
      <c r="J1" s="8"/>
    </row>
    <row r="2" ht="18" customHeight="1">
      <c r="A2" s="9"/>
      <c r="B2" t="s" s="107">
        <v>77</v>
      </c>
      <c r="C2" s="108"/>
      <c r="D2" s="108"/>
      <c r="E2" s="85"/>
      <c r="F2" s="84"/>
      <c r="G2" s="84"/>
      <c r="H2" s="84"/>
      <c r="I2" s="85"/>
      <c r="J2" s="146"/>
    </row>
    <row r="3" ht="18" customHeight="1">
      <c r="A3" s="9"/>
      <c r="B3" t="s" s="86">
        <v>129</v>
      </c>
      <c r="C3" s="87"/>
      <c r="D3" s="87"/>
      <c r="E3" s="88"/>
      <c r="F3" s="88"/>
      <c r="G3" s="88"/>
      <c r="H3" s="113"/>
      <c r="I3" s="88"/>
      <c r="J3" s="147"/>
    </row>
    <row r="4" ht="16.5" customHeight="1">
      <c r="A4" s="9"/>
      <c r="B4" s="110"/>
      <c r="C4" s="89"/>
      <c r="D4" s="89"/>
      <c r="E4" t="s" s="90">
        <v>78</v>
      </c>
      <c r="F4" t="s" s="90">
        <v>52</v>
      </c>
      <c r="G4" s="89"/>
      <c r="H4" t="s" s="90">
        <v>53</v>
      </c>
      <c r="I4" t="s" s="90">
        <v>53</v>
      </c>
      <c r="J4" t="s" s="148">
        <v>53</v>
      </c>
    </row>
    <row r="5" ht="33" customHeight="1">
      <c r="A5" s="9"/>
      <c r="B5" t="s" s="111">
        <v>79</v>
      </c>
      <c r="C5" t="s" s="90">
        <v>54</v>
      </c>
      <c r="D5" t="s" s="90">
        <v>364</v>
      </c>
      <c r="E5" s="114">
        <v>12061001385</v>
      </c>
      <c r="F5" t="s" s="90">
        <v>55</v>
      </c>
      <c r="G5" t="s" s="90">
        <v>8</v>
      </c>
      <c r="H5" t="s" s="90">
        <v>109</v>
      </c>
      <c r="I5" t="s" s="90">
        <v>365</v>
      </c>
      <c r="J5" t="s" s="148">
        <v>366</v>
      </c>
    </row>
    <row r="6" ht="27" customHeight="1">
      <c r="A6" s="9"/>
      <c r="B6" t="s" s="111">
        <v>8</v>
      </c>
      <c r="C6" t="s" s="94">
        <v>58</v>
      </c>
      <c r="D6" s="149"/>
      <c r="E6" t="s" s="95">
        <v>8</v>
      </c>
      <c r="F6" s="89"/>
      <c r="G6" t="s" s="96">
        <v>59</v>
      </c>
      <c r="H6" s="97"/>
      <c r="I6" t="s" s="90">
        <v>8</v>
      </c>
      <c r="J6" s="147">
        <v>861247.76</v>
      </c>
    </row>
    <row r="7" ht="13.55" customHeight="1">
      <c r="A7" s="9"/>
      <c r="B7" s="112">
        <v>45779</v>
      </c>
      <c r="C7" t="s" s="19">
        <v>130</v>
      </c>
      <c r="D7" t="s" s="19">
        <v>367</v>
      </c>
      <c r="E7" t="s" s="80">
        <v>60</v>
      </c>
      <c r="F7" t="s" s="80">
        <v>131</v>
      </c>
      <c r="G7" s="34">
        <v>500</v>
      </c>
      <c r="H7" s="34"/>
      <c r="I7" s="35"/>
      <c r="J7" s="147" cm="1">
        <f t="array" ref="J7">J6+G7</f>
        <v>861747.76</v>
      </c>
    </row>
    <row r="8" ht="13.55" customHeight="1">
      <c r="A8" s="9"/>
      <c r="B8" s="112">
        <v>45779</v>
      </c>
      <c r="C8" s="98"/>
      <c r="D8" t="s" s="19">
        <v>367</v>
      </c>
      <c r="E8" t="s" s="80">
        <v>60</v>
      </c>
      <c r="F8" t="s" s="80">
        <v>73</v>
      </c>
      <c r="G8" s="99"/>
      <c r="H8" s="34">
        <v>500</v>
      </c>
      <c r="I8" s="35"/>
      <c r="J8" s="147" cm="1">
        <f t="array" ref="J8">J7+H8</f>
        <v>862247.76</v>
      </c>
    </row>
    <row r="9" ht="13.55" customHeight="1">
      <c r="A9" s="9"/>
      <c r="B9" s="112">
        <v>45782</v>
      </c>
      <c r="C9" t="s" s="19">
        <v>132</v>
      </c>
      <c r="D9" t="s" s="19">
        <v>367</v>
      </c>
      <c r="E9" t="s" s="80">
        <v>60</v>
      </c>
      <c r="F9" t="s" s="80">
        <v>133</v>
      </c>
      <c r="G9" s="99">
        <v>500</v>
      </c>
      <c r="H9" s="34"/>
      <c r="I9" s="35"/>
      <c r="J9" s="147" cm="1">
        <f t="array" ref="J9">J8+G9</f>
        <v>862747.76</v>
      </c>
    </row>
    <row r="10" ht="13.55" customHeight="1">
      <c r="A10" s="9"/>
      <c r="B10" s="112">
        <v>45782</v>
      </c>
      <c r="C10" s="98"/>
      <c r="D10" t="s" s="19">
        <v>367</v>
      </c>
      <c r="E10" t="s" s="80">
        <v>60</v>
      </c>
      <c r="F10" t="s" s="80">
        <v>112</v>
      </c>
      <c r="G10" s="34"/>
      <c r="H10" s="34">
        <v>500</v>
      </c>
      <c r="I10" s="35"/>
      <c r="J10" s="147" cm="1">
        <f t="array" ref="J10">J9+H10</f>
        <v>863247.76</v>
      </c>
    </row>
    <row r="11" ht="13.55" customHeight="1">
      <c r="A11" s="9"/>
      <c r="B11" s="112">
        <v>45782</v>
      </c>
      <c r="C11" s="98"/>
      <c r="D11" t="s" s="19">
        <v>367</v>
      </c>
      <c r="E11" t="s" s="80">
        <v>60</v>
      </c>
      <c r="F11" t="s" s="80">
        <v>134</v>
      </c>
      <c r="G11" s="34"/>
      <c r="H11" s="34">
        <v>1500</v>
      </c>
      <c r="I11" s="35"/>
      <c r="J11" s="147" cm="1">
        <f t="array" ref="J11">J10+H11</f>
        <v>864747.76</v>
      </c>
    </row>
    <row r="12" ht="13.55" customHeight="1">
      <c r="A12" s="9"/>
      <c r="B12" s="112">
        <v>45790</v>
      </c>
      <c r="C12" s="98"/>
      <c r="D12" t="s" s="19">
        <v>367</v>
      </c>
      <c r="E12" t="s" s="80">
        <v>60</v>
      </c>
      <c r="F12" t="s" s="80">
        <v>135</v>
      </c>
      <c r="G12" s="34"/>
      <c r="H12" s="34">
        <v>500</v>
      </c>
      <c r="I12" s="35"/>
      <c r="J12" s="147" cm="1">
        <f t="array" ref="J12">J11+H12</f>
        <v>865247.76</v>
      </c>
    </row>
    <row r="13" ht="13.55" customHeight="1">
      <c r="A13" s="9"/>
      <c r="B13" s="112">
        <v>45790</v>
      </c>
      <c r="C13" s="100"/>
      <c r="D13" t="s" s="19">
        <v>367</v>
      </c>
      <c r="E13" t="s" s="80">
        <v>60</v>
      </c>
      <c r="F13" t="s" s="80">
        <v>136</v>
      </c>
      <c r="G13" s="99"/>
      <c r="H13" s="34">
        <v>500</v>
      </c>
      <c r="I13" s="35"/>
      <c r="J13" s="147" cm="1">
        <f t="array" ref="J13">J12+H13</f>
        <v>865747.76</v>
      </c>
    </row>
    <row r="14" ht="13.55" customHeight="1">
      <c r="A14" s="9"/>
      <c r="B14" s="112">
        <v>45792</v>
      </c>
      <c r="C14" s="98"/>
      <c r="D14" t="s" s="19">
        <v>367</v>
      </c>
      <c r="E14" t="s" s="80">
        <v>99</v>
      </c>
      <c r="F14" t="s" s="80">
        <v>137</v>
      </c>
      <c r="G14" s="99">
        <v>43250</v>
      </c>
      <c r="H14" s="34"/>
      <c r="I14" s="35"/>
      <c r="J14" s="147" cm="1">
        <f t="array" ref="J14">J13+G14</f>
        <v>908997.76</v>
      </c>
    </row>
    <row r="15" ht="13.55" customHeight="1">
      <c r="A15" s="9"/>
      <c r="B15" s="112">
        <v>45792</v>
      </c>
      <c r="C15" s="100"/>
      <c r="D15" t="s" s="19">
        <v>367</v>
      </c>
      <c r="E15" t="s" s="80">
        <v>99</v>
      </c>
      <c r="F15" t="s" s="80">
        <v>137</v>
      </c>
      <c r="G15" s="99">
        <v>7300</v>
      </c>
      <c r="H15" s="34"/>
      <c r="I15" s="35"/>
      <c r="J15" s="147" cm="1">
        <f t="array" ref="J15">J14+G15</f>
        <v>916297.76</v>
      </c>
    </row>
    <row r="16" ht="13.55" customHeight="1">
      <c r="A16" s="9"/>
      <c r="B16" s="112">
        <v>45792</v>
      </c>
      <c r="C16" s="100"/>
      <c r="D16" t="s" s="19">
        <v>367</v>
      </c>
      <c r="E16" t="s" s="80">
        <v>99</v>
      </c>
      <c r="F16" t="s" s="80">
        <v>137</v>
      </c>
      <c r="G16" s="99">
        <v>22050</v>
      </c>
      <c r="H16" s="34"/>
      <c r="I16" s="35"/>
      <c r="J16" s="147" cm="1">
        <f t="array" ref="J16">J15+G16</f>
        <v>938347.76</v>
      </c>
    </row>
    <row r="17" ht="13.55" customHeight="1">
      <c r="A17" s="9"/>
      <c r="B17" s="112">
        <v>45792</v>
      </c>
      <c r="C17" t="s" s="19">
        <v>138</v>
      </c>
      <c r="D17" t="s" s="19">
        <v>367</v>
      </c>
      <c r="E17" t="s" s="80">
        <v>60</v>
      </c>
      <c r="F17" t="s" s="80">
        <v>72</v>
      </c>
      <c r="G17" s="34">
        <v>1000</v>
      </c>
      <c r="H17" s="34"/>
      <c r="I17" s="35"/>
      <c r="J17" s="147" cm="1">
        <f t="array" ref="J17">J16+G17</f>
        <v>939347.76</v>
      </c>
    </row>
    <row r="18" ht="13.55" customHeight="1">
      <c r="A18" s="9"/>
      <c r="B18" s="112">
        <v>45792</v>
      </c>
      <c r="C18" t="s" s="19">
        <v>139</v>
      </c>
      <c r="D18" t="s" s="19">
        <v>367</v>
      </c>
      <c r="E18" t="s" s="80">
        <v>60</v>
      </c>
      <c r="F18" t="s" s="80">
        <v>140</v>
      </c>
      <c r="G18" s="115">
        <v>500</v>
      </c>
      <c r="H18" s="34"/>
      <c r="I18" s="35"/>
      <c r="J18" s="147" cm="1">
        <f t="array" ref="J18">J17+G18</f>
        <v>939847.76</v>
      </c>
    </row>
    <row r="19" ht="13.55" customHeight="1">
      <c r="A19" s="9"/>
      <c r="B19" s="112">
        <v>45793</v>
      </c>
      <c r="C19" t="s" s="19">
        <v>141</v>
      </c>
      <c r="D19" t="s" s="19">
        <v>367</v>
      </c>
      <c r="E19" t="s" s="80">
        <v>60</v>
      </c>
      <c r="F19" t="s" s="80">
        <v>104</v>
      </c>
      <c r="G19" s="115">
        <v>1500</v>
      </c>
      <c r="H19" s="34"/>
      <c r="I19" s="35"/>
      <c r="J19" s="147" cm="1">
        <f t="array" ref="J19">J18+G19</f>
        <v>941347.76</v>
      </c>
    </row>
    <row r="20" ht="13.55" customHeight="1">
      <c r="A20" s="9"/>
      <c r="B20" s="112">
        <v>45793</v>
      </c>
      <c r="C20" t="s" s="19">
        <v>142</v>
      </c>
      <c r="D20" t="s" s="19">
        <v>367</v>
      </c>
      <c r="E20" t="s" s="80">
        <v>60</v>
      </c>
      <c r="F20" t="s" s="80">
        <v>143</v>
      </c>
      <c r="G20" s="115">
        <v>1500</v>
      </c>
      <c r="H20" s="34"/>
      <c r="I20" s="35"/>
      <c r="J20" s="147" cm="1">
        <f t="array" ref="J20">J19+G20</f>
        <v>942847.76</v>
      </c>
    </row>
    <row r="21" ht="13.55" customHeight="1">
      <c r="A21" s="9"/>
      <c r="B21" s="112">
        <v>45796</v>
      </c>
      <c r="C21" s="98"/>
      <c r="D21" t="s" s="19">
        <v>367</v>
      </c>
      <c r="E21" t="s" s="80">
        <v>60</v>
      </c>
      <c r="F21" t="s" s="80">
        <v>113</v>
      </c>
      <c r="G21" s="34"/>
      <c r="H21" s="34">
        <v>500</v>
      </c>
      <c r="I21" s="35"/>
      <c r="J21" s="147" cm="1">
        <f t="array" ref="J21">J20+H21</f>
        <v>943347.76</v>
      </c>
    </row>
    <row r="22" ht="13.55" customHeight="1">
      <c r="A22" s="9"/>
      <c r="B22" s="112">
        <v>45797</v>
      </c>
      <c r="C22" s="98"/>
      <c r="D22" t="s" s="19">
        <v>367</v>
      </c>
      <c r="E22" t="s" s="80">
        <v>60</v>
      </c>
      <c r="F22" t="s" s="80">
        <v>144</v>
      </c>
      <c r="G22" s="34">
        <v>1750</v>
      </c>
      <c r="H22" s="34"/>
      <c r="I22" s="35"/>
      <c r="J22" s="147" cm="1">
        <f t="array" ref="J22">J21+G22</f>
        <v>945097.76</v>
      </c>
    </row>
    <row r="23" ht="13.55" customHeight="1">
      <c r="A23" s="9"/>
      <c r="B23" s="112"/>
      <c r="C23" s="98"/>
      <c r="D23" s="98"/>
      <c r="E23" s="35"/>
      <c r="F23" s="35"/>
      <c r="G23" s="34"/>
      <c r="H23" s="34"/>
      <c r="I23" s="35"/>
      <c r="J23" s="147"/>
    </row>
    <row r="24" ht="13.55" customHeight="1">
      <c r="A24" s="79"/>
      <c r="B24" s="101"/>
      <c r="C24" s="98"/>
      <c r="D24" s="98"/>
      <c r="E24" s="35"/>
      <c r="F24" s="101"/>
      <c r="G24" s="34"/>
      <c r="H24" s="34"/>
      <c r="I24" s="34"/>
      <c r="J24" s="147"/>
    </row>
    <row r="25" ht="13.55" customHeight="1">
      <c r="A25" s="79"/>
      <c r="B25" s="101"/>
      <c r="C25" s="98"/>
      <c r="D25" s="98"/>
      <c r="E25" s="35"/>
      <c r="F25" s="101"/>
      <c r="G25" s="34"/>
      <c r="H25" s="34"/>
      <c r="I25" s="34"/>
      <c r="J25" s="147"/>
    </row>
    <row r="26" ht="13.55" customHeight="1">
      <c r="A26" s="79"/>
      <c r="B26" s="101">
        <v>45782</v>
      </c>
      <c r="C26" s="101"/>
      <c r="D26" t="s" s="19">
        <v>368</v>
      </c>
      <c r="E26" t="s" s="80">
        <v>260</v>
      </c>
      <c r="F26" t="s" s="80">
        <v>261</v>
      </c>
      <c r="G26" s="34"/>
      <c r="H26" s="34"/>
      <c r="I26" s="34">
        <v>16768.96</v>
      </c>
      <c r="J26" s="147" cm="1">
        <f t="array" ref="J26">J22-I26</f>
        <v>928328.8</v>
      </c>
    </row>
    <row r="27" ht="13.55" customHeight="1">
      <c r="A27" s="79"/>
      <c r="B27" s="101">
        <v>45789</v>
      </c>
      <c r="C27" s="101"/>
      <c r="D27" t="s" s="19">
        <v>368</v>
      </c>
      <c r="E27" t="s" s="80">
        <v>260</v>
      </c>
      <c r="F27" t="s" s="80">
        <v>261</v>
      </c>
      <c r="G27" s="34"/>
      <c r="H27" s="34"/>
      <c r="I27" s="34">
        <v>7888.99</v>
      </c>
      <c r="J27" s="147" cm="1">
        <f t="array" ref="J27">J26-I27</f>
        <v>920439.8100000001</v>
      </c>
    </row>
    <row r="28" ht="13.55" customHeight="1">
      <c r="A28" s="79"/>
      <c r="B28" s="101">
        <v>45790</v>
      </c>
      <c r="C28" s="101"/>
      <c r="D28" t="s" s="19">
        <v>368</v>
      </c>
      <c r="E28" t="s" s="80">
        <v>197</v>
      </c>
      <c r="F28" t="s" s="80">
        <v>262</v>
      </c>
      <c r="G28" s="34"/>
      <c r="H28" s="34"/>
      <c r="I28" s="34">
        <v>14002.08</v>
      </c>
      <c r="J28" s="147" cm="1">
        <f t="array" ref="J28">J27-I28</f>
        <v>906437.73</v>
      </c>
    </row>
    <row r="29" ht="13.55" customHeight="1">
      <c r="A29" s="79"/>
      <c r="B29" s="101">
        <v>45790</v>
      </c>
      <c r="C29" s="101"/>
      <c r="D29" t="s" s="19">
        <v>368</v>
      </c>
      <c r="E29" t="s" s="80">
        <v>99</v>
      </c>
      <c r="F29" t="s" s="80">
        <v>263</v>
      </c>
      <c r="G29" s="34"/>
      <c r="H29" s="34"/>
      <c r="I29" s="34">
        <v>10</v>
      </c>
      <c r="J29" s="147" cm="1">
        <f t="array" ref="J29">J28-I29</f>
        <v>906427.73</v>
      </c>
    </row>
    <row r="30" ht="13.55" customHeight="1">
      <c r="A30" s="79"/>
      <c r="B30" s="101">
        <v>45790</v>
      </c>
      <c r="C30" s="101"/>
      <c r="D30" t="s" s="19">
        <v>368</v>
      </c>
      <c r="E30" t="s" s="80">
        <v>99</v>
      </c>
      <c r="F30" t="s" s="80">
        <v>264</v>
      </c>
      <c r="G30" s="34"/>
      <c r="H30" s="34"/>
      <c r="I30" s="34">
        <v>1.6</v>
      </c>
      <c r="J30" s="147" cm="1">
        <f t="array" ref="J30">J29-I30</f>
        <v>906426.13</v>
      </c>
    </row>
    <row r="31" ht="13.55" customHeight="1">
      <c r="A31" s="79"/>
      <c r="B31" s="101">
        <v>45792</v>
      </c>
      <c r="C31" s="101"/>
      <c r="D31" t="s" s="19">
        <v>368</v>
      </c>
      <c r="E31" t="s" s="80">
        <v>99</v>
      </c>
      <c r="F31" t="s" s="80">
        <v>265</v>
      </c>
      <c r="G31" s="34"/>
      <c r="H31" s="34"/>
      <c r="I31" s="34">
        <v>865</v>
      </c>
      <c r="J31" s="147" cm="1">
        <f t="array" ref="J31">J30-I31</f>
        <v>905561.13</v>
      </c>
    </row>
    <row r="32" ht="13.55" customHeight="1">
      <c r="A32" s="9"/>
      <c r="B32" s="112">
        <v>45792</v>
      </c>
      <c r="C32" s="101"/>
      <c r="D32" t="s" s="19">
        <v>368</v>
      </c>
      <c r="E32" t="s" s="80">
        <v>99</v>
      </c>
      <c r="F32" t="s" s="80">
        <v>266</v>
      </c>
      <c r="G32" s="34"/>
      <c r="H32" s="34"/>
      <c r="I32" s="34">
        <v>138.4</v>
      </c>
      <c r="J32" s="147" cm="1">
        <f t="array" ref="J32">J31-I32</f>
        <v>905422.73</v>
      </c>
    </row>
    <row r="33" ht="13.55" customHeight="1">
      <c r="A33" s="9"/>
      <c r="B33" s="112">
        <v>45792</v>
      </c>
      <c r="C33" s="101"/>
      <c r="D33" t="s" s="19">
        <v>368</v>
      </c>
      <c r="E33" t="s" s="80">
        <v>99</v>
      </c>
      <c r="F33" t="s" s="80">
        <v>265</v>
      </c>
      <c r="G33" s="34"/>
      <c r="H33" s="34"/>
      <c r="I33" s="34">
        <v>138.7</v>
      </c>
      <c r="J33" s="147" cm="1">
        <f t="array" ref="J33">J32-I33</f>
        <v>905284.03</v>
      </c>
    </row>
    <row r="34" ht="13.55" customHeight="1">
      <c r="A34" s="9"/>
      <c r="B34" s="112">
        <v>45792</v>
      </c>
      <c r="C34" s="101"/>
      <c r="D34" t="s" s="19">
        <v>368</v>
      </c>
      <c r="E34" t="s" s="80">
        <v>99</v>
      </c>
      <c r="F34" t="s" s="80">
        <v>266</v>
      </c>
      <c r="G34" s="34"/>
      <c r="H34" s="34"/>
      <c r="I34" s="34">
        <v>22.18</v>
      </c>
      <c r="J34" s="147" cm="1">
        <f t="array" ref="J34">J33-I34</f>
        <v>905261.85</v>
      </c>
    </row>
    <row r="35" ht="13.55" customHeight="1">
      <c r="A35" s="9"/>
      <c r="B35" s="112">
        <v>45792</v>
      </c>
      <c r="C35" s="101"/>
      <c r="D35" t="s" s="19">
        <v>368</v>
      </c>
      <c r="E35" t="s" s="80">
        <v>99</v>
      </c>
      <c r="F35" t="s" s="80">
        <v>265</v>
      </c>
      <c r="G35" s="34"/>
      <c r="H35" s="34"/>
      <c r="I35" s="34">
        <v>650.48</v>
      </c>
      <c r="J35" s="147" cm="1">
        <f t="array" ref="J35">J34-I35</f>
        <v>904611.37</v>
      </c>
    </row>
    <row r="36" ht="13.55" customHeight="1">
      <c r="A36" s="9"/>
      <c r="B36" s="112">
        <v>45792</v>
      </c>
      <c r="C36" s="101"/>
      <c r="D36" t="s" s="19">
        <v>368</v>
      </c>
      <c r="E36" t="s" s="80">
        <v>99</v>
      </c>
      <c r="F36" t="s" s="80">
        <v>266</v>
      </c>
      <c r="G36" s="34"/>
      <c r="H36" s="34"/>
      <c r="I36" s="34">
        <v>104.08</v>
      </c>
      <c r="J36" s="147" cm="1">
        <f t="array" ref="J36">J35-I36</f>
        <v>904507.29</v>
      </c>
    </row>
    <row r="37" ht="13.55" customHeight="1">
      <c r="A37" s="9"/>
      <c r="B37" s="112">
        <v>45797</v>
      </c>
      <c r="C37" s="101"/>
      <c r="D37" t="s" s="19">
        <v>368</v>
      </c>
      <c r="E37" t="s" s="80">
        <v>99</v>
      </c>
      <c r="F37" t="s" s="80">
        <v>265</v>
      </c>
      <c r="G37" s="34"/>
      <c r="H37" s="34"/>
      <c r="I37" s="34">
        <v>35</v>
      </c>
      <c r="J37" s="147" cm="1">
        <f t="array" ref="J37">J36-I37</f>
        <v>904472.29</v>
      </c>
    </row>
    <row r="38" ht="13.55" customHeight="1">
      <c r="A38" s="9"/>
      <c r="B38" s="112">
        <v>45797</v>
      </c>
      <c r="C38" s="101"/>
      <c r="D38" t="s" s="19">
        <v>368</v>
      </c>
      <c r="E38" t="s" s="80">
        <v>99</v>
      </c>
      <c r="F38" t="s" s="80">
        <v>266</v>
      </c>
      <c r="G38" s="34"/>
      <c r="H38" s="34"/>
      <c r="I38" s="34">
        <v>5.6</v>
      </c>
      <c r="J38" s="147" cm="1">
        <f t="array" ref="J38">J37-I38</f>
        <v>904466.6899999999</v>
      </c>
    </row>
    <row r="39" ht="13.55" customHeight="1">
      <c r="A39" s="9"/>
      <c r="B39" s="112">
        <v>45800</v>
      </c>
      <c r="C39" s="101"/>
      <c r="D39" t="s" s="19">
        <v>368</v>
      </c>
      <c r="E39" t="s" s="80">
        <v>197</v>
      </c>
      <c r="F39" t="s" s="80">
        <v>204</v>
      </c>
      <c r="G39" s="34"/>
      <c r="H39" s="34"/>
      <c r="I39" s="34">
        <v>10000</v>
      </c>
      <c r="J39" s="147" cm="1">
        <f t="array" ref="J39">J38-I39</f>
        <v>894466.6899999999</v>
      </c>
    </row>
    <row r="40" ht="13.55" customHeight="1">
      <c r="A40" s="9"/>
      <c r="B40" s="112">
        <v>45807</v>
      </c>
      <c r="C40" s="101"/>
      <c r="D40" t="s" s="19">
        <v>368</v>
      </c>
      <c r="E40" t="s" s="80">
        <v>197</v>
      </c>
      <c r="F40" t="s" s="80">
        <v>267</v>
      </c>
      <c r="G40" s="34"/>
      <c r="H40" s="34"/>
      <c r="I40" s="34">
        <v>17675.23</v>
      </c>
      <c r="J40" s="147" cm="1">
        <f t="array" ref="J40">J39-I40</f>
        <v>876791.46</v>
      </c>
    </row>
    <row r="41" ht="13.55" customHeight="1">
      <c r="A41" s="9"/>
      <c r="B41" s="112">
        <v>45807</v>
      </c>
      <c r="C41" s="101"/>
      <c r="D41" t="s" s="19">
        <v>368</v>
      </c>
      <c r="E41" t="s" s="80">
        <v>99</v>
      </c>
      <c r="F41" t="s" s="80">
        <v>265</v>
      </c>
      <c r="G41" s="34"/>
      <c r="H41" s="34"/>
      <c r="I41" s="34">
        <v>10</v>
      </c>
      <c r="J41" s="147" cm="1">
        <f t="array" ref="J41">J40-I41</f>
        <v>876781.46</v>
      </c>
    </row>
    <row r="42" ht="13.55" customHeight="1">
      <c r="A42" s="9"/>
      <c r="B42" s="112">
        <v>45807</v>
      </c>
      <c r="C42" s="101"/>
      <c r="D42" t="s" s="19">
        <v>368</v>
      </c>
      <c r="E42" t="s" s="80">
        <v>99</v>
      </c>
      <c r="F42" t="s" s="80">
        <v>266</v>
      </c>
      <c r="G42" s="34"/>
      <c r="H42" s="34"/>
      <c r="I42" s="34">
        <v>1.6</v>
      </c>
      <c r="J42" s="147" cm="1">
        <f t="array" ref="J42">J41-I42</f>
        <v>876779.86</v>
      </c>
    </row>
    <row r="43" ht="13.55" customHeight="1">
      <c r="A43" s="9"/>
      <c r="B43" s="112"/>
      <c r="C43" s="101"/>
      <c r="D43" s="101"/>
      <c r="E43" s="35"/>
      <c r="F43" s="35"/>
      <c r="G43" s="34"/>
      <c r="H43" s="34"/>
      <c r="I43" s="34"/>
      <c r="J43" s="147"/>
    </row>
    <row r="44" ht="13.55" customHeight="1">
      <c r="A44" s="9"/>
      <c r="B44" s="112"/>
      <c r="C44" s="101"/>
      <c r="D44" s="101"/>
      <c r="E44" s="35"/>
      <c r="F44" s="35"/>
      <c r="G44" s="34"/>
      <c r="H44" s="34">
        <v>0</v>
      </c>
      <c r="I44" s="34"/>
      <c r="J44" s="147"/>
    </row>
    <row r="45" ht="13.55" customHeight="1">
      <c r="A45" s="9"/>
      <c r="B45" s="112"/>
      <c r="C45" s="35"/>
      <c r="D45" s="35"/>
      <c r="E45" t="s" s="80">
        <v>8</v>
      </c>
      <c r="F45" s="35"/>
      <c r="G45" s="34" cm="1">
        <f t="array" ref="G45">SUM(G7:G44)</f>
        <v>79850</v>
      </c>
      <c r="H45" s="34" cm="1">
        <f t="array" ref="H45">SUM(H7:H44)</f>
        <v>4000</v>
      </c>
      <c r="I45" s="34" cm="1">
        <f t="array" ref="I45">SUM(I24:I44)</f>
        <v>68317.899999999994</v>
      </c>
      <c r="J45" s="147"/>
    </row>
    <row r="46" ht="15.75" customHeight="1">
      <c r="A46" s="9"/>
      <c r="B46" s="112"/>
      <c r="C46" s="35"/>
      <c r="D46" s="35"/>
      <c r="E46" s="35"/>
      <c r="F46" s="35"/>
      <c r="G46" s="34" cm="1">
        <f t="array" ref="G46">G45+H45</f>
        <v>83850</v>
      </c>
      <c r="H46" s="150"/>
      <c r="I46" s="76"/>
      <c r="J46" s="151"/>
    </row>
    <row r="47" ht="14.05" customHeight="1">
      <c r="A47" s="9"/>
      <c r="B47" s="177"/>
      <c r="C47" s="22"/>
      <c r="D47" s="22"/>
      <c r="E47" s="22"/>
      <c r="F47" s="184"/>
      <c r="G47" s="152"/>
      <c r="H47" t="s" s="153">
        <v>371</v>
      </c>
      <c r="I47" t="s" s="154">
        <v>8</v>
      </c>
      <c r="J47" t="s" s="155">
        <v>372</v>
      </c>
    </row>
    <row r="48" ht="13.55" customHeight="1">
      <c r="A48" s="9"/>
      <c r="B48" s="178"/>
      <c r="C48" s="7"/>
      <c r="D48" s="7"/>
      <c r="E48" t="s" s="185">
        <v>373</v>
      </c>
      <c r="F48" s="186">
        <v>4450</v>
      </c>
      <c r="G48" t="s" s="187">
        <v>386</v>
      </c>
      <c r="H48" t="s" s="25">
        <v>374</v>
      </c>
      <c r="I48" s="157">
        <v>0</v>
      </c>
      <c r="J48" s="158">
        <v>0</v>
      </c>
    </row>
    <row r="49" ht="13.55" customHeight="1">
      <c r="A49" s="9"/>
      <c r="B49" s="178"/>
      <c r="C49" s="7"/>
      <c r="D49" s="7"/>
      <c r="E49" t="s" s="26">
        <v>375</v>
      </c>
      <c r="F49" s="188" cm="1">
        <f t="array" ref="F49">63600-4450</f>
        <v>59150</v>
      </c>
      <c r="G49" t="s" s="156">
        <v>8</v>
      </c>
      <c r="H49" t="s" s="159">
        <v>376</v>
      </c>
      <c r="I49" s="160">
        <v>0</v>
      </c>
      <c r="J49" s="161">
        <v>0</v>
      </c>
    </row>
    <row r="50" ht="13.55" customHeight="1">
      <c r="A50" s="9"/>
      <c r="B50" s="178"/>
      <c r="C50" s="7"/>
      <c r="D50" s="7"/>
      <c r="E50" t="s" s="26">
        <v>377</v>
      </c>
      <c r="F50" s="157" cm="1">
        <f t="array" ref="F50">G7+G9+G17+G18+G19+G20+G22</f>
        <v>7250</v>
      </c>
      <c r="G50" t="s" s="156">
        <v>8</v>
      </c>
      <c r="H50" t="s" s="159">
        <v>378</v>
      </c>
      <c r="I50" s="160">
        <v>0</v>
      </c>
      <c r="J50" t="s" s="162">
        <v>8</v>
      </c>
    </row>
    <row r="51" ht="13.55" customHeight="1">
      <c r="A51" s="9"/>
      <c r="B51" s="178"/>
      <c r="C51" s="7"/>
      <c r="D51" s="7"/>
      <c r="E51" t="s" s="185">
        <v>57</v>
      </c>
      <c r="F51" s="186" cm="1">
        <f t="array" ref="F51">H45</f>
        <v>4000</v>
      </c>
      <c r="G51" t="s" s="187">
        <v>387</v>
      </c>
      <c r="H51" t="s" s="159">
        <v>380</v>
      </c>
      <c r="I51" s="160">
        <v>0</v>
      </c>
      <c r="J51" s="163"/>
    </row>
    <row r="52" ht="13.55" customHeight="1">
      <c r="A52" s="9"/>
      <c r="B52" s="178"/>
      <c r="C52" s="7"/>
      <c r="D52" s="7"/>
      <c r="E52" t="s" s="185">
        <v>381</v>
      </c>
      <c r="F52" t="s" s="191">
        <v>8</v>
      </c>
      <c r="G52" t="s" s="187">
        <v>8</v>
      </c>
      <c r="H52" t="s" s="25">
        <v>8</v>
      </c>
      <c r="I52" s="164"/>
      <c r="J52" s="158"/>
    </row>
    <row r="53" ht="15.75" customHeight="1">
      <c r="A53" s="9"/>
      <c r="B53" s="178"/>
      <c r="C53" s="7"/>
      <c r="D53" s="7"/>
      <c r="E53" t="s" s="26">
        <v>384</v>
      </c>
      <c r="F53" s="188">
        <v>9000</v>
      </c>
      <c r="G53" t="s" s="156">
        <v>388</v>
      </c>
      <c r="H53" t="s" s="165">
        <v>8</v>
      </c>
      <c r="I53" s="166" cm="1">
        <f t="array" ref="I53">I51+I50+I49+I48</f>
        <v>0</v>
      </c>
      <c r="J53" s="167" cm="1">
        <f t="array" ref="J53">J49+J48</f>
        <v>0</v>
      </c>
    </row>
    <row r="54" ht="14.05" customHeight="1">
      <c r="A54" s="9"/>
      <c r="B54" s="178"/>
      <c r="C54" s="7"/>
      <c r="D54" s="7"/>
      <c r="E54" s="7"/>
      <c r="F54" s="144" cm="1">
        <f t="array" ref="F54">SUM(F48:F53)</f>
        <v>83850</v>
      </c>
      <c r="G54" t="s" s="26">
        <v>8</v>
      </c>
      <c r="H54" t="s" s="168">
        <v>8</v>
      </c>
      <c r="I54" s="78"/>
      <c r="J54" s="169"/>
    </row>
    <row r="55" ht="15.75" customHeight="1">
      <c r="A55" s="9"/>
      <c r="B55" s="179"/>
      <c r="C55" s="8"/>
      <c r="D55" s="8"/>
      <c r="E55" s="8"/>
      <c r="F55" t="s" s="192">
        <v>8</v>
      </c>
      <c r="G55" s="8"/>
      <c r="H55" s="170"/>
      <c r="I55" s="8"/>
      <c r="J55" s="171"/>
    </row>
    <row r="56" ht="14.05" customHeight="1">
      <c r="A56" s="7"/>
      <c r="B56" s="193"/>
      <c r="C56" s="78"/>
      <c r="D56" s="78"/>
      <c r="E56" s="78"/>
      <c r="F56" t="s" s="168">
        <v>8</v>
      </c>
      <c r="G56" s="78"/>
      <c r="H56" s="78"/>
      <c r="I56" s="78"/>
      <c r="J56" s="194"/>
    </row>
    <row r="57" ht="15.75" customHeight="1">
      <c r="A57" s="7"/>
      <c r="B57" s="195"/>
      <c r="C57" s="8"/>
      <c r="D57" s="8"/>
      <c r="E57" s="8"/>
      <c r="F57" s="8"/>
      <c r="G57" s="8"/>
      <c r="H57" s="8"/>
      <c r="I57" s="8"/>
      <c r="J57" s="170"/>
    </row>
    <row r="58" ht="18" customHeight="1">
      <c r="A58" s="9"/>
      <c r="B58" t="s" s="107">
        <v>77</v>
      </c>
      <c r="C58" s="108"/>
      <c r="D58" s="108"/>
      <c r="E58" s="85"/>
      <c r="F58" s="84"/>
      <c r="G58" s="84"/>
      <c r="H58" s="84"/>
      <c r="I58" s="85"/>
      <c r="J58" s="146"/>
    </row>
    <row r="59" ht="18" customHeight="1">
      <c r="A59" s="9"/>
      <c r="B59" t="s" s="86">
        <v>145</v>
      </c>
      <c r="C59" s="87"/>
      <c r="D59" s="87"/>
      <c r="E59" s="88"/>
      <c r="F59" s="88"/>
      <c r="G59" s="88"/>
      <c r="H59" s="113"/>
      <c r="I59" s="88"/>
      <c r="J59" s="147"/>
    </row>
    <row r="60" ht="16.5" customHeight="1">
      <c r="A60" s="9"/>
      <c r="B60" s="110"/>
      <c r="C60" s="89"/>
      <c r="D60" s="89"/>
      <c r="E60" t="s" s="90">
        <v>78</v>
      </c>
      <c r="F60" t="s" s="90">
        <v>52</v>
      </c>
      <c r="G60" s="89"/>
      <c r="H60" t="s" s="90">
        <v>53</v>
      </c>
      <c r="I60" t="s" s="90">
        <v>53</v>
      </c>
      <c r="J60" t="s" s="148">
        <v>53</v>
      </c>
    </row>
    <row r="61" ht="33" customHeight="1">
      <c r="A61" s="9"/>
      <c r="B61" t="s" s="111">
        <v>79</v>
      </c>
      <c r="C61" t="s" s="90">
        <v>54</v>
      </c>
      <c r="D61" s="89"/>
      <c r="E61" s="114">
        <v>12061001385</v>
      </c>
      <c r="F61" t="s" s="90">
        <v>55</v>
      </c>
      <c r="G61" t="s" s="90">
        <v>8</v>
      </c>
      <c r="H61" t="s" s="90">
        <v>109</v>
      </c>
      <c r="I61" t="s" s="90">
        <v>365</v>
      </c>
      <c r="J61" t="s" s="148">
        <v>366</v>
      </c>
    </row>
    <row r="62" ht="27" customHeight="1">
      <c r="A62" s="9"/>
      <c r="B62" t="s" s="111">
        <v>8</v>
      </c>
      <c r="C62" t="s" s="94">
        <v>58</v>
      </c>
      <c r="D62" s="149"/>
      <c r="E62" t="s" s="95">
        <v>8</v>
      </c>
      <c r="F62" s="89"/>
      <c r="G62" t="s" s="96">
        <v>59</v>
      </c>
      <c r="H62" s="97"/>
      <c r="I62" t="s" s="90">
        <v>8</v>
      </c>
      <c r="J62" s="147" cm="1">
        <f t="array" ref="J62">829465.86-500</f>
        <v>828965.86</v>
      </c>
    </row>
    <row r="63" ht="13.55" customHeight="1">
      <c r="A63" s="9"/>
      <c r="B63" s="112">
        <v>45810</v>
      </c>
      <c r="C63" s="98">
        <v>2082</v>
      </c>
      <c r="D63" s="98"/>
      <c r="E63" t="s" s="80">
        <v>60</v>
      </c>
      <c r="F63" t="s" s="80">
        <v>146</v>
      </c>
      <c r="G63" s="34">
        <v>500</v>
      </c>
      <c r="H63" s="34"/>
      <c r="I63" s="35"/>
      <c r="J63" s="147" cm="1">
        <f t="array" ref="J63">J62+G63</f>
        <v>829465.86</v>
      </c>
    </row>
    <row r="64" ht="13.55" customHeight="1">
      <c r="A64" s="9"/>
      <c r="B64" s="112">
        <v>45812</v>
      </c>
      <c r="C64" s="98"/>
      <c r="D64" s="98"/>
      <c r="E64" t="s" s="80">
        <v>60</v>
      </c>
      <c r="F64" t="s" s="80">
        <v>147</v>
      </c>
      <c r="G64" s="99"/>
      <c r="H64" s="34">
        <v>500</v>
      </c>
      <c r="I64" s="35"/>
      <c r="J64" s="147" cm="1">
        <f t="array" ref="J64">J63+H64</f>
        <v>829965.86</v>
      </c>
    </row>
    <row r="65" ht="13.55" customHeight="1">
      <c r="A65" s="9"/>
      <c r="B65" s="112">
        <v>45813</v>
      </c>
      <c r="C65" s="100"/>
      <c r="D65" s="100"/>
      <c r="E65" t="s" s="80">
        <v>148</v>
      </c>
      <c r="F65" t="s" s="80">
        <v>149</v>
      </c>
      <c r="G65" s="99">
        <v>3309.25</v>
      </c>
      <c r="H65" s="34"/>
      <c r="I65" s="35"/>
      <c r="J65" s="147" cm="1">
        <f t="array" ref="J65">J64+G65</f>
        <v>833275.11</v>
      </c>
    </row>
    <row r="66" ht="13.55" customHeight="1">
      <c r="A66" s="9"/>
      <c r="B66" s="112">
        <v>45818</v>
      </c>
      <c r="C66" s="98"/>
      <c r="D66" s="98"/>
      <c r="E66" t="s" s="80">
        <v>60</v>
      </c>
      <c r="F66" t="s" s="80">
        <v>150</v>
      </c>
      <c r="G66" s="34"/>
      <c r="H66" s="34">
        <v>1000</v>
      </c>
      <c r="I66" s="35"/>
      <c r="J66" s="147" cm="1">
        <f t="array" ref="J66">J65+H66</f>
        <v>834275.11</v>
      </c>
    </row>
    <row r="67" ht="13.55" customHeight="1">
      <c r="A67" s="9"/>
      <c r="B67" s="112">
        <v>45824</v>
      </c>
      <c r="C67" s="98"/>
      <c r="D67" s="98"/>
      <c r="E67" t="s" s="80">
        <v>99</v>
      </c>
      <c r="F67" t="s" s="80">
        <v>151</v>
      </c>
      <c r="G67" s="34">
        <v>21050</v>
      </c>
      <c r="H67" s="34"/>
      <c r="I67" s="35"/>
      <c r="J67" s="147" cm="1">
        <f t="array" ref="J67">J66+G67</f>
        <v>855325.11</v>
      </c>
    </row>
    <row r="68" ht="13.55" customHeight="1">
      <c r="A68" s="9"/>
      <c r="B68" s="112">
        <v>45824</v>
      </c>
      <c r="C68" s="98"/>
      <c r="D68" s="98"/>
      <c r="E68" t="s" s="80">
        <v>99</v>
      </c>
      <c r="F68" t="s" s="80">
        <v>151</v>
      </c>
      <c r="G68" s="34">
        <v>45500</v>
      </c>
      <c r="H68" s="34"/>
      <c r="I68" s="35"/>
      <c r="J68" s="147" cm="1">
        <f t="array" ref="J68">J67+G68</f>
        <v>900825.11</v>
      </c>
    </row>
    <row r="69" ht="13.55" customHeight="1">
      <c r="A69" s="9"/>
      <c r="B69" s="112">
        <v>45824</v>
      </c>
      <c r="C69" s="100"/>
      <c r="D69" s="100"/>
      <c r="E69" t="s" s="80">
        <v>99</v>
      </c>
      <c r="F69" t="s" s="80">
        <v>152</v>
      </c>
      <c r="G69" s="99">
        <v>6500</v>
      </c>
      <c r="H69" s="34"/>
      <c r="I69" s="35"/>
      <c r="J69" s="147" cm="1">
        <f t="array" ref="J69">J68+G69</f>
        <v>907325.11</v>
      </c>
    </row>
    <row r="70" ht="13.55" customHeight="1">
      <c r="A70" s="9"/>
      <c r="B70" s="112">
        <v>45824</v>
      </c>
      <c r="C70" s="98">
        <v>2194</v>
      </c>
      <c r="D70" s="98"/>
      <c r="E70" t="s" s="80">
        <v>60</v>
      </c>
      <c r="F70" t="s" s="80">
        <v>121</v>
      </c>
      <c r="G70" s="99">
        <v>1000</v>
      </c>
      <c r="H70" s="34"/>
      <c r="I70" s="35"/>
      <c r="J70" s="147" cm="1">
        <f t="array" ref="J70">J69+G70</f>
        <v>908325.11</v>
      </c>
    </row>
    <row r="71" ht="13.55" customHeight="1">
      <c r="A71" s="9"/>
      <c r="B71" s="112">
        <v>45824</v>
      </c>
      <c r="C71" s="117">
        <v>2195</v>
      </c>
      <c r="D71" s="18"/>
      <c r="E71" t="s" s="80">
        <v>60</v>
      </c>
      <c r="F71" t="s" s="80">
        <v>153</v>
      </c>
      <c r="G71" s="99">
        <v>500</v>
      </c>
      <c r="H71" s="34"/>
      <c r="I71" s="35"/>
      <c r="J71" s="147" cm="1">
        <f t="array" ref="J71">J70+G71</f>
        <v>908825.11</v>
      </c>
    </row>
    <row r="72" ht="13.55" customHeight="1">
      <c r="A72" s="9"/>
      <c r="B72" s="112">
        <v>45824</v>
      </c>
      <c r="C72" s="117">
        <v>2196</v>
      </c>
      <c r="D72" s="18"/>
      <c r="E72" t="s" s="80">
        <v>60</v>
      </c>
      <c r="F72" t="s" s="80">
        <v>154</v>
      </c>
      <c r="G72" s="99">
        <v>500</v>
      </c>
      <c r="H72" s="34"/>
      <c r="I72" s="35"/>
      <c r="J72" s="147" cm="1">
        <f t="array" ref="J72">J71+G72</f>
        <v>909325.11</v>
      </c>
    </row>
    <row r="73" ht="13.55" customHeight="1">
      <c r="A73" s="9"/>
      <c r="B73" s="112">
        <v>45826</v>
      </c>
      <c r="C73" s="98"/>
      <c r="D73" s="98"/>
      <c r="E73" t="s" s="80">
        <v>60</v>
      </c>
      <c r="F73" t="s" s="80">
        <v>155</v>
      </c>
      <c r="G73" s="34"/>
      <c r="H73" s="34">
        <v>500</v>
      </c>
      <c r="I73" s="35"/>
      <c r="J73" s="147" cm="1">
        <f t="array" ref="J73">J72+H73</f>
        <v>909825.11</v>
      </c>
    </row>
    <row r="74" ht="13.55" customHeight="1">
      <c r="A74" s="9"/>
      <c r="B74" s="112">
        <v>45826</v>
      </c>
      <c r="C74" s="98"/>
      <c r="D74" s="98"/>
      <c r="E74" t="s" s="80">
        <v>60</v>
      </c>
      <c r="F74" t="s" s="80">
        <v>112</v>
      </c>
      <c r="G74" s="115"/>
      <c r="H74" s="34">
        <v>500</v>
      </c>
      <c r="I74" s="35"/>
      <c r="J74" s="147" cm="1">
        <f t="array" ref="J74">J73+H74</f>
        <v>910325.11</v>
      </c>
    </row>
    <row r="75" ht="13.55" customHeight="1">
      <c r="A75" s="9"/>
      <c r="B75" s="112">
        <v>45826</v>
      </c>
      <c r="C75" s="98"/>
      <c r="D75" s="98"/>
      <c r="E75" t="s" s="80">
        <v>60</v>
      </c>
      <c r="F75" t="s" s="80">
        <v>156</v>
      </c>
      <c r="G75" s="115"/>
      <c r="H75" s="34">
        <v>200</v>
      </c>
      <c r="I75" s="35"/>
      <c r="J75" s="147" cm="1">
        <f t="array" ref="J75">J74+H75</f>
        <v>910525.11</v>
      </c>
    </row>
    <row r="76" ht="13.55" customHeight="1">
      <c r="A76" s="9"/>
      <c r="B76" s="112">
        <v>45827</v>
      </c>
      <c r="C76" s="98"/>
      <c r="D76" s="98"/>
      <c r="E76" t="s" s="80">
        <v>99</v>
      </c>
      <c r="F76" t="s" s="80">
        <v>157</v>
      </c>
      <c r="G76" s="115">
        <v>1000</v>
      </c>
      <c r="H76" s="34"/>
      <c r="I76" s="35"/>
      <c r="J76" s="147" cm="1">
        <f t="array" ref="J76">J75+G76</f>
        <v>911525.11</v>
      </c>
    </row>
    <row r="77" ht="13.55" customHeight="1">
      <c r="A77" s="9"/>
      <c r="B77" s="112">
        <v>45827</v>
      </c>
      <c r="C77" s="98"/>
      <c r="D77" s="98"/>
      <c r="E77" t="s" s="80">
        <v>99</v>
      </c>
      <c r="F77" t="s" s="80">
        <v>158</v>
      </c>
      <c r="G77" s="34">
        <v>18350</v>
      </c>
      <c r="H77" s="34"/>
      <c r="I77" s="35"/>
      <c r="J77" s="147" cm="1">
        <f t="array" ref="J77">J76+G77</f>
        <v>929875.11</v>
      </c>
    </row>
    <row r="78" ht="13.55" customHeight="1">
      <c r="A78" s="9"/>
      <c r="B78" s="112">
        <v>45827</v>
      </c>
      <c r="C78" s="98"/>
      <c r="D78" s="98"/>
      <c r="E78" t="s" s="80">
        <v>99</v>
      </c>
      <c r="F78" t="s" s="80">
        <v>159</v>
      </c>
      <c r="G78" s="34">
        <v>52700</v>
      </c>
      <c r="H78" s="34"/>
      <c r="I78" s="35"/>
      <c r="J78" s="147" cm="1">
        <f t="array" ref="J78">J77+G78</f>
        <v>982575.11</v>
      </c>
    </row>
    <row r="79" ht="13.55" customHeight="1">
      <c r="A79" s="9"/>
      <c r="B79" s="112">
        <v>45831</v>
      </c>
      <c r="C79" s="98"/>
      <c r="D79" s="98"/>
      <c r="E79" t="s" s="80">
        <v>99</v>
      </c>
      <c r="F79" t="s" s="80">
        <v>160</v>
      </c>
      <c r="G79" s="34">
        <v>500</v>
      </c>
      <c r="H79" s="34"/>
      <c r="I79" s="35"/>
      <c r="J79" s="147" cm="1">
        <f t="array" ref="J79">J78+G79</f>
        <v>983075.11</v>
      </c>
    </row>
    <row r="80" ht="13.55" customHeight="1">
      <c r="A80" s="9"/>
      <c r="B80" s="112">
        <v>45831</v>
      </c>
      <c r="C80" s="98"/>
      <c r="D80" s="98"/>
      <c r="E80" t="s" s="80">
        <v>99</v>
      </c>
      <c r="F80" t="s" s="80">
        <v>160</v>
      </c>
      <c r="G80" s="34">
        <v>2400</v>
      </c>
      <c r="H80" s="34"/>
      <c r="I80" s="35"/>
      <c r="J80" s="147" cm="1">
        <f t="array" ref="J80">J79+G80</f>
        <v>985475.11</v>
      </c>
    </row>
    <row r="81" ht="13.55" customHeight="1">
      <c r="A81" s="9"/>
      <c r="B81" s="112">
        <v>45831</v>
      </c>
      <c r="C81" s="98"/>
      <c r="D81" s="98"/>
      <c r="E81" t="s" s="80">
        <v>99</v>
      </c>
      <c r="F81" t="s" s="80">
        <v>160</v>
      </c>
      <c r="G81" s="34">
        <v>1500</v>
      </c>
      <c r="H81" s="34"/>
      <c r="I81" s="35"/>
      <c r="J81" s="147" cm="1">
        <f t="array" ref="J81">J80+G81</f>
        <v>986975.11</v>
      </c>
    </row>
    <row r="82" ht="13.55" customHeight="1">
      <c r="A82" s="9"/>
      <c r="B82" s="112">
        <v>45832</v>
      </c>
      <c r="C82" s="98"/>
      <c r="D82" s="98"/>
      <c r="E82" t="s" s="80">
        <v>60</v>
      </c>
      <c r="F82" t="s" s="80">
        <v>161</v>
      </c>
      <c r="G82" s="34"/>
      <c r="H82" s="34">
        <v>500</v>
      </c>
      <c r="I82" s="35"/>
      <c r="J82" s="147" cm="1">
        <f t="array" ref="J82">J81+H82</f>
        <v>987475.11</v>
      </c>
    </row>
    <row r="83" ht="13.55" customHeight="1">
      <c r="A83" s="9"/>
      <c r="B83" s="112">
        <v>45834</v>
      </c>
      <c r="C83" s="98">
        <v>2200</v>
      </c>
      <c r="D83" s="98"/>
      <c r="E83" t="s" s="80">
        <v>60</v>
      </c>
      <c r="F83" t="s" s="80">
        <v>162</v>
      </c>
      <c r="G83" s="34">
        <v>1500</v>
      </c>
      <c r="H83" s="34"/>
      <c r="I83" s="35"/>
      <c r="J83" s="147" cm="1">
        <f t="array" ref="J83">J82+G83</f>
        <v>988975.11</v>
      </c>
    </row>
    <row r="84" ht="13.55" customHeight="1">
      <c r="A84" s="9"/>
      <c r="B84" s="112">
        <v>45834</v>
      </c>
      <c r="C84" s="98">
        <v>2201</v>
      </c>
      <c r="D84" s="98"/>
      <c r="E84" t="s" s="80">
        <v>60</v>
      </c>
      <c r="F84" t="s" s="80">
        <v>119</v>
      </c>
      <c r="G84" s="34">
        <v>1500</v>
      </c>
      <c r="H84" s="34"/>
      <c r="I84" s="35"/>
      <c r="J84" s="147" cm="1">
        <f t="array" ref="J84">J83+G84</f>
        <v>990475.11</v>
      </c>
    </row>
    <row r="85" ht="13.55" customHeight="1">
      <c r="A85" s="9"/>
      <c r="B85" s="112">
        <v>45838</v>
      </c>
      <c r="C85" s="98">
        <v>2216</v>
      </c>
      <c r="D85" s="98"/>
      <c r="E85" t="s" s="80">
        <v>60</v>
      </c>
      <c r="F85" t="s" s="80">
        <v>98</v>
      </c>
      <c r="G85" s="34">
        <v>500</v>
      </c>
      <c r="H85" s="34"/>
      <c r="I85" s="35"/>
      <c r="J85" s="147" cm="1">
        <f t="array" ref="J85">J84+G85</f>
        <v>990975.11</v>
      </c>
    </row>
    <row r="86" ht="13.55" customHeight="1">
      <c r="A86" s="9"/>
      <c r="B86" s="112"/>
      <c r="C86" s="98"/>
      <c r="D86" s="98"/>
      <c r="E86" s="35"/>
      <c r="F86" s="35"/>
      <c r="G86" s="34"/>
      <c r="H86" s="34"/>
      <c r="I86" s="35"/>
      <c r="J86" s="147" cm="1">
        <f t="array" ref="J86">J85+G86</f>
        <v>990975.11</v>
      </c>
    </row>
    <row r="87" ht="13.55" customHeight="1">
      <c r="A87" s="7"/>
      <c r="B87" s="118"/>
      <c r="C87" s="98"/>
      <c r="D87" s="98"/>
      <c r="E87" s="35"/>
      <c r="F87" s="35"/>
      <c r="G87" s="34"/>
      <c r="H87" s="34"/>
      <c r="I87" s="35"/>
      <c r="J87" s="147"/>
    </row>
    <row r="88" ht="13.55" customHeight="1">
      <c r="A88" s="7"/>
      <c r="B88" s="118"/>
      <c r="C88" s="98"/>
      <c r="D88" s="98"/>
      <c r="E88" s="35"/>
      <c r="F88" s="35"/>
      <c r="G88" s="34"/>
      <c r="H88" s="34"/>
      <c r="I88" s="35"/>
      <c r="J88" s="147"/>
    </row>
    <row r="89" ht="13.55" customHeight="1">
      <c r="A89" s="79"/>
      <c r="B89" s="101"/>
      <c r="C89" s="98"/>
      <c r="D89" s="98"/>
      <c r="E89" s="35"/>
      <c r="F89" s="101"/>
      <c r="G89" s="34"/>
      <c r="H89" s="34"/>
      <c r="I89" s="34"/>
      <c r="J89" s="147"/>
    </row>
    <row r="90" ht="13.55" customHeight="1">
      <c r="A90" s="79"/>
      <c r="B90" s="101">
        <v>45813</v>
      </c>
      <c r="C90" s="101"/>
      <c r="D90" s="101"/>
      <c r="E90" t="s" s="80">
        <v>268</v>
      </c>
      <c r="F90" t="s" s="80">
        <v>208</v>
      </c>
      <c r="G90" s="34"/>
      <c r="H90" s="34"/>
      <c r="I90" s="34">
        <v>3309.25</v>
      </c>
      <c r="J90" s="147" cm="1">
        <f t="array" ref="J90">J86-I90</f>
        <v>987665.86</v>
      </c>
    </row>
    <row r="91" ht="13.55" customHeight="1">
      <c r="A91" s="79"/>
      <c r="B91" s="101">
        <v>45813</v>
      </c>
      <c r="C91" s="101"/>
      <c r="D91" s="101"/>
      <c r="E91" t="s" s="80">
        <v>268</v>
      </c>
      <c r="F91" t="s" s="80">
        <v>208</v>
      </c>
      <c r="G91" s="34"/>
      <c r="H91" s="34"/>
      <c r="I91" s="34">
        <v>3309.25</v>
      </c>
      <c r="J91" s="147" cm="1">
        <f t="array" ref="J91">J90-I91</f>
        <v>984356.61</v>
      </c>
    </row>
    <row r="92" ht="13.55" customHeight="1">
      <c r="A92" s="79"/>
      <c r="B92" s="101">
        <v>45821</v>
      </c>
      <c r="C92" s="101"/>
      <c r="D92" s="101"/>
      <c r="E92" t="s" s="80">
        <v>99</v>
      </c>
      <c r="F92" t="s" s="80">
        <v>269</v>
      </c>
      <c r="G92" s="34"/>
      <c r="H92" s="34"/>
      <c r="I92" s="34">
        <v>14002.08</v>
      </c>
      <c r="J92" s="147" cm="1">
        <f t="array" ref="J92">J91-I92</f>
        <v>970354.53</v>
      </c>
    </row>
    <row r="93" ht="13.55" customHeight="1">
      <c r="A93" s="79"/>
      <c r="B93" s="101">
        <v>45821</v>
      </c>
      <c r="C93" s="101"/>
      <c r="D93" s="101"/>
      <c r="E93" t="s" s="80">
        <v>99</v>
      </c>
      <c r="F93" t="s" s="80">
        <v>270</v>
      </c>
      <c r="G93" s="34"/>
      <c r="H93" s="34"/>
      <c r="I93" s="34">
        <v>10</v>
      </c>
      <c r="J93" s="147" cm="1">
        <f t="array" ref="J93">J92-I93</f>
        <v>970344.53</v>
      </c>
    </row>
    <row r="94" ht="13.55" customHeight="1">
      <c r="A94" s="79"/>
      <c r="B94" s="101">
        <v>45821</v>
      </c>
      <c r="C94" s="101"/>
      <c r="D94" s="101"/>
      <c r="E94" t="s" s="80">
        <v>99</v>
      </c>
      <c r="F94" t="s" s="80">
        <v>271</v>
      </c>
      <c r="G94" s="34"/>
      <c r="H94" s="34"/>
      <c r="I94" s="34">
        <v>1.6</v>
      </c>
      <c r="J94" s="147" cm="1">
        <f t="array" ref="J94">J93-I94</f>
        <v>970342.9300000001</v>
      </c>
    </row>
    <row r="95" ht="13.55" customHeight="1">
      <c r="A95" s="79"/>
      <c r="B95" s="101">
        <v>45824</v>
      </c>
      <c r="C95" s="101"/>
      <c r="D95" s="101"/>
      <c r="E95" t="s" s="80">
        <v>99</v>
      </c>
      <c r="F95" t="s" s="80">
        <v>235</v>
      </c>
      <c r="G95" s="34"/>
      <c r="H95" s="34"/>
      <c r="I95" s="34">
        <v>620.98</v>
      </c>
      <c r="J95" s="147" cm="1">
        <f t="array" ref="J95">J94-I95</f>
        <v>969721.95</v>
      </c>
    </row>
    <row r="96" ht="13.55" customHeight="1">
      <c r="A96" s="79"/>
      <c r="B96" s="101">
        <v>45824</v>
      </c>
      <c r="C96" s="101"/>
      <c r="D96" s="101"/>
      <c r="E96" t="s" s="80">
        <v>99</v>
      </c>
      <c r="F96" t="s" s="80">
        <v>272</v>
      </c>
      <c r="G96" s="34"/>
      <c r="H96" s="34"/>
      <c r="I96" s="34">
        <v>99.36</v>
      </c>
      <c r="J96" s="147" cm="1">
        <f t="array" ref="J96">J95-I96</f>
        <v>969622.59</v>
      </c>
    </row>
    <row r="97" ht="13.55" customHeight="1">
      <c r="A97" s="9"/>
      <c r="B97" s="112">
        <v>45824</v>
      </c>
      <c r="C97" s="101"/>
      <c r="D97" s="101"/>
      <c r="E97" t="s" s="80">
        <v>99</v>
      </c>
      <c r="F97" t="s" s="80">
        <v>273</v>
      </c>
      <c r="G97" s="34"/>
      <c r="H97" s="34"/>
      <c r="I97" s="34">
        <v>910</v>
      </c>
      <c r="J97" s="147" cm="1">
        <f t="array" ref="J97">J96-I97</f>
        <v>968712.59</v>
      </c>
    </row>
    <row r="98" ht="13.55" customHeight="1">
      <c r="A98" s="9"/>
      <c r="B98" s="112">
        <v>45824</v>
      </c>
      <c r="C98" s="101"/>
      <c r="D98" s="101"/>
      <c r="E98" t="s" s="80">
        <v>99</v>
      </c>
      <c r="F98" t="s" s="80">
        <v>274</v>
      </c>
      <c r="G98" s="34"/>
      <c r="H98" s="34"/>
      <c r="I98" s="34">
        <v>145.6</v>
      </c>
      <c r="J98" s="147" cm="1">
        <f t="array" ref="J98">J97-I98</f>
        <v>968566.99</v>
      </c>
    </row>
    <row r="99" ht="13.55" customHeight="1">
      <c r="A99" s="9"/>
      <c r="B99" s="112">
        <v>45824</v>
      </c>
      <c r="C99" s="101"/>
      <c r="D99" s="101"/>
      <c r="E99" t="s" s="80">
        <v>99</v>
      </c>
      <c r="F99" t="s" s="80">
        <v>275</v>
      </c>
      <c r="G99" s="34"/>
      <c r="H99" s="34"/>
      <c r="I99" s="34">
        <v>123.5</v>
      </c>
      <c r="J99" s="147" cm="1">
        <f t="array" ref="J99">J98-I99</f>
        <v>968443.49</v>
      </c>
    </row>
    <row r="100" ht="13.55" customHeight="1">
      <c r="A100" s="9"/>
      <c r="B100" s="112">
        <v>45824</v>
      </c>
      <c r="C100" s="101"/>
      <c r="D100" s="101"/>
      <c r="E100" t="s" s="80">
        <v>99</v>
      </c>
      <c r="F100" t="s" s="80">
        <v>276</v>
      </c>
      <c r="G100" s="34"/>
      <c r="H100" s="34"/>
      <c r="I100" s="34">
        <v>19.75</v>
      </c>
      <c r="J100" s="147" cm="1">
        <f t="array" ref="J100">J99-I100</f>
        <v>968423.74</v>
      </c>
    </row>
    <row r="101" ht="13.55" customHeight="1">
      <c r="A101" s="9"/>
      <c r="B101" s="112">
        <v>45825</v>
      </c>
      <c r="C101" s="101"/>
      <c r="D101" s="101"/>
      <c r="E101" t="s" s="80">
        <v>277</v>
      </c>
      <c r="F101" t="s" s="80">
        <v>278</v>
      </c>
      <c r="G101" s="34"/>
      <c r="H101" s="34"/>
      <c r="I101" s="34">
        <v>348</v>
      </c>
      <c r="J101" s="147" cm="1">
        <f t="array" ref="J101">J100-I101</f>
        <v>968075.74</v>
      </c>
    </row>
    <row r="102" ht="13.55" customHeight="1">
      <c r="A102" s="9"/>
      <c r="B102" s="112">
        <v>45827</v>
      </c>
      <c r="C102" s="101"/>
      <c r="D102" s="101"/>
      <c r="E102" t="s" s="80">
        <v>99</v>
      </c>
      <c r="F102" t="s" s="80">
        <v>279</v>
      </c>
      <c r="G102" s="34"/>
      <c r="H102" s="34"/>
      <c r="I102" s="34">
        <v>1058.75</v>
      </c>
      <c r="J102" s="147" cm="1">
        <f t="array" ref="J102">J101-I102</f>
        <v>967016.99</v>
      </c>
    </row>
    <row r="103" ht="13.55" customHeight="1">
      <c r="A103" s="9"/>
      <c r="B103" s="112">
        <v>45827</v>
      </c>
      <c r="C103" s="101"/>
      <c r="D103" s="101"/>
      <c r="E103" t="s" s="80">
        <v>99</v>
      </c>
      <c r="F103" t="s" s="80">
        <v>279</v>
      </c>
      <c r="G103" s="34"/>
      <c r="H103" s="34"/>
      <c r="I103" s="34">
        <v>169.4</v>
      </c>
      <c r="J103" s="147" cm="1">
        <f t="array" ref="J103">J102-I103</f>
        <v>966847.59</v>
      </c>
    </row>
    <row r="104" ht="13.55" customHeight="1">
      <c r="A104" s="9"/>
      <c r="B104" s="112">
        <v>45827</v>
      </c>
      <c r="C104" s="101"/>
      <c r="D104" s="101"/>
      <c r="E104" t="s" s="80">
        <v>99</v>
      </c>
      <c r="F104" t="s" s="80">
        <v>275</v>
      </c>
      <c r="G104" s="34"/>
      <c r="H104" s="34"/>
      <c r="I104" s="34">
        <v>348.65</v>
      </c>
      <c r="J104" s="147" cm="1">
        <f t="array" ref="J104">J103-I104</f>
        <v>966498.9399999999</v>
      </c>
    </row>
    <row r="105" ht="13.55" customHeight="1">
      <c r="A105" s="9"/>
      <c r="B105" s="112">
        <v>45827</v>
      </c>
      <c r="C105" s="101"/>
      <c r="D105" s="101"/>
      <c r="E105" t="s" s="80">
        <v>99</v>
      </c>
      <c r="F105" t="s" s="80">
        <v>280</v>
      </c>
      <c r="G105" s="34"/>
      <c r="H105" s="34"/>
      <c r="I105" s="34">
        <v>55.77</v>
      </c>
      <c r="J105" s="147" cm="1">
        <f t="array" ref="J105">J104-I105</f>
        <v>966443.17</v>
      </c>
    </row>
    <row r="106" ht="13.55" customHeight="1">
      <c r="A106" s="9"/>
      <c r="B106" s="112">
        <v>45827</v>
      </c>
      <c r="C106" t="s" s="80">
        <v>8</v>
      </c>
      <c r="D106" s="35"/>
      <c r="E106" t="s" s="80">
        <v>99</v>
      </c>
      <c r="F106" t="s" s="80">
        <v>235</v>
      </c>
      <c r="G106" s="34"/>
      <c r="H106" s="34"/>
      <c r="I106" s="34">
        <v>29.5</v>
      </c>
      <c r="J106" s="147" cm="1">
        <f t="array" ref="J106">J105-I106</f>
        <v>966413.67</v>
      </c>
    </row>
    <row r="107" ht="13.55" customHeight="1">
      <c r="A107" s="9"/>
      <c r="B107" s="112">
        <v>45827</v>
      </c>
      <c r="C107" s="101"/>
      <c r="D107" s="101"/>
      <c r="E107" t="s" s="80">
        <v>99</v>
      </c>
      <c r="F107" t="s" s="80">
        <v>281</v>
      </c>
      <c r="G107" s="34"/>
      <c r="H107" s="34"/>
      <c r="I107" s="34">
        <v>4.72</v>
      </c>
      <c r="J107" s="147" cm="1">
        <f t="array" ref="J107">J106-I107</f>
        <v>966408.95</v>
      </c>
    </row>
    <row r="108" ht="13.55" customHeight="1">
      <c r="A108" s="9"/>
      <c r="B108" s="112">
        <v>45831</v>
      </c>
      <c r="C108" s="101"/>
      <c r="D108" s="101"/>
      <c r="E108" t="s" s="80">
        <v>99</v>
      </c>
      <c r="F108" t="s" s="80">
        <v>235</v>
      </c>
      <c r="G108" s="34"/>
      <c r="H108" s="34"/>
      <c r="I108" s="34">
        <v>14.75</v>
      </c>
      <c r="J108" s="147" cm="1">
        <f t="array" ref="J108">J107-I108</f>
        <v>966394.2</v>
      </c>
    </row>
    <row r="109" ht="13.55" customHeight="1">
      <c r="A109" s="9"/>
      <c r="B109" s="112">
        <v>45831</v>
      </c>
      <c r="C109" s="101"/>
      <c r="D109" s="101"/>
      <c r="E109" t="s" s="80">
        <v>99</v>
      </c>
      <c r="F109" t="s" s="80">
        <v>272</v>
      </c>
      <c r="G109" s="34"/>
      <c r="H109" s="34"/>
      <c r="I109" s="34">
        <v>2.36</v>
      </c>
      <c r="J109" s="147" cm="1">
        <f t="array" ref="J109">J108-I109</f>
        <v>966391.84</v>
      </c>
    </row>
    <row r="110" ht="13.55" customHeight="1">
      <c r="A110" s="9"/>
      <c r="B110" s="112">
        <v>45831</v>
      </c>
      <c r="C110" s="35"/>
      <c r="D110" s="35"/>
      <c r="E110" t="s" s="80">
        <v>99</v>
      </c>
      <c r="F110" t="s" s="80">
        <v>282</v>
      </c>
      <c r="G110" s="34"/>
      <c r="H110" s="34"/>
      <c r="I110" s="34">
        <v>48</v>
      </c>
      <c r="J110" s="147" cm="1">
        <f t="array" ref="J110">J109-I110</f>
        <v>966343.84</v>
      </c>
    </row>
    <row r="111" ht="13.55" customHeight="1">
      <c r="A111" s="9"/>
      <c r="B111" s="112">
        <v>45831</v>
      </c>
      <c r="C111" s="35"/>
      <c r="D111" s="35"/>
      <c r="E111" t="s" s="80">
        <v>99</v>
      </c>
      <c r="F111" t="s" s="80">
        <v>276</v>
      </c>
      <c r="G111" s="34"/>
      <c r="H111" s="34"/>
      <c r="I111" s="34">
        <v>7.68</v>
      </c>
      <c r="J111" s="147" cm="1">
        <f t="array" ref="J111">J110-I111</f>
        <v>966336.16</v>
      </c>
    </row>
    <row r="112" ht="13.55" customHeight="1">
      <c r="A112" s="9"/>
      <c r="B112" s="112">
        <v>45831</v>
      </c>
      <c r="C112" s="35"/>
      <c r="D112" s="35"/>
      <c r="E112" t="s" s="80">
        <v>99</v>
      </c>
      <c r="F112" t="s" s="80">
        <v>275</v>
      </c>
      <c r="G112" s="34"/>
      <c r="H112" s="34"/>
      <c r="I112" s="34">
        <v>28.5</v>
      </c>
      <c r="J112" s="147" cm="1">
        <f t="array" ref="J112">J111-I112</f>
        <v>966307.66</v>
      </c>
    </row>
    <row r="113" ht="13.55" customHeight="1">
      <c r="A113" s="9"/>
      <c r="B113" s="112">
        <v>45831</v>
      </c>
      <c r="C113" s="35"/>
      <c r="D113" s="35"/>
      <c r="E113" t="s" s="80">
        <v>99</v>
      </c>
      <c r="F113" t="s" s="80">
        <v>276</v>
      </c>
      <c r="G113" s="34"/>
      <c r="H113" s="34"/>
      <c r="I113" s="34">
        <v>4.56</v>
      </c>
      <c r="J113" s="147" cm="1">
        <f t="array" ref="J113">J112-I113</f>
        <v>966303.1</v>
      </c>
    </row>
    <row r="114" ht="13.55" customHeight="1">
      <c r="A114" s="9"/>
      <c r="B114" s="112">
        <v>45838</v>
      </c>
      <c r="C114" s="35"/>
      <c r="D114" s="35"/>
      <c r="E114" t="s" s="80">
        <v>197</v>
      </c>
      <c r="F114" t="s" s="80">
        <v>283</v>
      </c>
      <c r="G114" s="34"/>
      <c r="H114" s="34"/>
      <c r="I114" s="34">
        <v>14413.07</v>
      </c>
      <c r="J114" s="147" cm="1">
        <f t="array" ref="J114">J113-I114</f>
        <v>951890.03</v>
      </c>
    </row>
    <row r="115" ht="13.55" customHeight="1">
      <c r="A115" s="9"/>
      <c r="B115" s="112">
        <v>45838</v>
      </c>
      <c r="C115" s="35"/>
      <c r="D115" s="35"/>
      <c r="E115" t="s" s="80">
        <v>99</v>
      </c>
      <c r="F115" t="s" s="80">
        <v>284</v>
      </c>
      <c r="G115" s="34"/>
      <c r="H115" s="34"/>
      <c r="I115" s="34">
        <v>10</v>
      </c>
      <c r="J115" s="147" cm="1">
        <f t="array" ref="J115">J114-I115</f>
        <v>951880.03</v>
      </c>
    </row>
    <row r="116" ht="13.55" customHeight="1">
      <c r="A116" s="9"/>
      <c r="B116" s="112">
        <v>45838</v>
      </c>
      <c r="C116" s="35"/>
      <c r="D116" s="35"/>
      <c r="E116" t="s" s="80">
        <v>99</v>
      </c>
      <c r="F116" t="s" s="80">
        <v>271</v>
      </c>
      <c r="G116" s="34"/>
      <c r="H116" s="34"/>
      <c r="I116" s="34">
        <v>1.6</v>
      </c>
      <c r="J116" s="147" cm="1">
        <f t="array" ref="J116">J115-I116</f>
        <v>951878.4300000001</v>
      </c>
    </row>
    <row r="117" ht="13.55" customHeight="1">
      <c r="A117" s="9"/>
      <c r="B117" s="112">
        <v>45838</v>
      </c>
      <c r="C117" t="s" s="80">
        <v>8</v>
      </c>
      <c r="D117" s="35"/>
      <c r="E117" t="s" s="80">
        <v>99</v>
      </c>
      <c r="F117" t="s" s="80">
        <v>210</v>
      </c>
      <c r="G117" s="34"/>
      <c r="H117" s="34"/>
      <c r="I117" s="34">
        <v>400</v>
      </c>
      <c r="J117" s="147" cm="1">
        <f t="array" ref="J117">J116-I117</f>
        <v>951478.4300000001</v>
      </c>
    </row>
    <row r="118" ht="13.55" customHeight="1">
      <c r="A118" s="9"/>
      <c r="B118" s="112">
        <v>45838</v>
      </c>
      <c r="C118" s="35"/>
      <c r="D118" s="35"/>
      <c r="E118" t="s" s="80">
        <v>99</v>
      </c>
      <c r="F118" t="s" s="80">
        <v>389</v>
      </c>
      <c r="G118" s="34"/>
      <c r="H118" s="34"/>
      <c r="I118" s="34">
        <v>64</v>
      </c>
      <c r="J118" s="147" cm="1">
        <f t="array" ref="J118">J117-I118</f>
        <v>951414.4300000001</v>
      </c>
    </row>
    <row r="119" ht="13.55" customHeight="1">
      <c r="A119" s="9"/>
      <c r="B119" s="112"/>
      <c r="C119" s="35"/>
      <c r="D119" s="35"/>
      <c r="E119" s="34"/>
      <c r="F119" s="35"/>
      <c r="G119" s="34" cm="1">
        <f t="array" ref="G119">SUM(G63:G118)</f>
        <v>158809.25</v>
      </c>
      <c r="H119" s="34" cm="1">
        <f t="array" ref="H119">SUM(H63:H118)</f>
        <v>3200</v>
      </c>
      <c r="I119" s="34" cm="1">
        <f t="array" ref="I119">SUM(I90:I118)</f>
        <v>39560.68</v>
      </c>
      <c r="J119" s="147"/>
    </row>
    <row r="120" ht="13.55" customHeight="1">
      <c r="A120" s="9"/>
      <c r="B120" s="112"/>
      <c r="C120" s="35"/>
      <c r="D120" s="35"/>
      <c r="E120" s="34"/>
      <c r="F120" s="35"/>
      <c r="G120" s="34"/>
      <c r="H120" s="34"/>
      <c r="I120" t="s" s="80">
        <v>8</v>
      </c>
      <c r="J120" s="147"/>
    </row>
    <row r="121" ht="13.55" customHeight="1">
      <c r="A121" s="9"/>
      <c r="B121" s="112"/>
      <c r="C121" s="35"/>
      <c r="D121" s="35"/>
      <c r="E121" s="34"/>
      <c r="F121" s="35"/>
      <c r="G121" s="34"/>
      <c r="H121" s="34"/>
      <c r="I121" t="s" s="80">
        <v>8</v>
      </c>
      <c r="J121" s="147"/>
    </row>
    <row r="122" ht="13.55" customHeight="1">
      <c r="A122" s="9"/>
      <c r="B122" s="112"/>
      <c r="C122" s="35"/>
      <c r="D122" s="35"/>
      <c r="E122" s="34"/>
      <c r="F122" s="35"/>
      <c r="G122" s="34" cm="1">
        <f t="array" ref="G122">G119+H119</f>
        <v>162009.25</v>
      </c>
      <c r="H122" s="34"/>
      <c r="I122" s="34"/>
      <c r="J122" s="147"/>
    </row>
    <row r="123" ht="13.55" customHeight="1">
      <c r="A123" s="9"/>
      <c r="B123" s="112"/>
      <c r="C123" s="35"/>
      <c r="D123" s="35"/>
      <c r="E123" s="34"/>
      <c r="F123" s="35"/>
      <c r="G123" s="34"/>
      <c r="H123" s="34"/>
      <c r="I123" s="34"/>
      <c r="J123" s="147"/>
    </row>
    <row r="124" ht="13.55" customHeight="1">
      <c r="A124" s="9"/>
      <c r="B124" s="112"/>
      <c r="C124" s="35"/>
      <c r="D124" s="35"/>
      <c r="E124" s="34"/>
      <c r="F124" s="35"/>
      <c r="G124" s="34"/>
      <c r="H124" s="34"/>
      <c r="I124" s="34"/>
      <c r="J124" s="147"/>
    </row>
    <row r="125" ht="13.55" customHeight="1">
      <c r="A125" s="9"/>
      <c r="B125" s="112"/>
      <c r="C125" s="35"/>
      <c r="D125" s="35"/>
      <c r="E125" s="34"/>
      <c r="F125" s="35"/>
      <c r="G125" s="34"/>
      <c r="H125" s="34"/>
      <c r="I125" s="34"/>
      <c r="J125" s="147"/>
    </row>
    <row r="126" ht="13.55" customHeight="1">
      <c r="A126" s="9"/>
      <c r="B126" s="112"/>
      <c r="C126" s="35"/>
      <c r="D126" s="35"/>
      <c r="E126" s="34"/>
      <c r="F126" s="35"/>
      <c r="G126" s="34"/>
      <c r="H126" s="34"/>
      <c r="I126" s="34"/>
      <c r="J126" s="147"/>
    </row>
    <row r="127" ht="15.75" customHeight="1">
      <c r="A127" s="9"/>
      <c r="B127" s="112"/>
      <c r="C127" s="35"/>
      <c r="D127" s="35"/>
      <c r="E127" s="35"/>
      <c r="F127" s="35"/>
      <c r="G127" s="34"/>
      <c r="H127" s="150"/>
      <c r="I127" s="76"/>
      <c r="J127" s="151"/>
    </row>
    <row r="128" ht="14.05" customHeight="1">
      <c r="A128" s="9"/>
      <c r="B128" s="177"/>
      <c r="C128" s="22"/>
      <c r="D128" s="22"/>
      <c r="E128" t="s" s="23">
        <v>390</v>
      </c>
      <c r="F128" s="196">
        <v>300</v>
      </c>
      <c r="G128" t="s" s="24">
        <v>391</v>
      </c>
      <c r="H128" t="s" s="153">
        <v>371</v>
      </c>
      <c r="I128" t="s" s="154">
        <v>8</v>
      </c>
      <c r="J128" t="s" s="155">
        <v>372</v>
      </c>
    </row>
    <row r="129" ht="13.55" customHeight="1">
      <c r="A129" s="9"/>
      <c r="B129" s="178"/>
      <c r="C129" s="7"/>
      <c r="D129" s="7"/>
      <c r="E129" t="s" s="185">
        <v>373</v>
      </c>
      <c r="F129" s="186">
        <v>4450</v>
      </c>
      <c r="G129" t="s" s="187">
        <v>392</v>
      </c>
      <c r="H129" t="s" s="25">
        <v>374</v>
      </c>
      <c r="I129" s="157">
        <v>0</v>
      </c>
      <c r="J129" s="158">
        <v>0</v>
      </c>
    </row>
    <row r="130" ht="13.55" customHeight="1">
      <c r="A130" s="9"/>
      <c r="B130" s="178"/>
      <c r="C130" s="7"/>
      <c r="D130" s="7"/>
      <c r="E130" t="s" s="26">
        <v>375</v>
      </c>
      <c r="F130" s="188">
        <v>59600</v>
      </c>
      <c r="G130" t="s" s="156">
        <v>8</v>
      </c>
      <c r="H130" t="s" s="159">
        <v>376</v>
      </c>
      <c r="I130" s="160">
        <v>0</v>
      </c>
      <c r="J130" s="161">
        <v>0</v>
      </c>
    </row>
    <row r="131" ht="13.55" customHeight="1">
      <c r="A131" s="9"/>
      <c r="B131" s="178"/>
      <c r="C131" s="7"/>
      <c r="D131" s="7"/>
      <c r="E131" t="s" s="26">
        <v>377</v>
      </c>
      <c r="F131" s="157">
        <v>8000</v>
      </c>
      <c r="G131" t="s" s="156">
        <v>8</v>
      </c>
      <c r="H131" t="s" s="159">
        <v>378</v>
      </c>
      <c r="I131" s="160">
        <v>0</v>
      </c>
      <c r="J131" t="s" s="162">
        <v>8</v>
      </c>
    </row>
    <row r="132" ht="13.55" customHeight="1">
      <c r="A132" s="9"/>
      <c r="B132" s="178"/>
      <c r="C132" s="7"/>
      <c r="D132" s="7"/>
      <c r="E132" t="s" s="185">
        <v>57</v>
      </c>
      <c r="F132" s="186">
        <v>3200</v>
      </c>
      <c r="G132" t="s" s="187">
        <v>393</v>
      </c>
      <c r="H132" t="s" s="159">
        <v>380</v>
      </c>
      <c r="I132" s="160">
        <v>0</v>
      </c>
      <c r="J132" s="163"/>
    </row>
    <row r="133" ht="13.55" customHeight="1">
      <c r="A133" s="9"/>
      <c r="B133" s="178"/>
      <c r="C133" s="7"/>
      <c r="D133" s="7"/>
      <c r="E133" t="s" s="185">
        <v>381</v>
      </c>
      <c r="F133" t="s" s="191">
        <v>8</v>
      </c>
      <c r="G133" t="s" s="187">
        <v>8</v>
      </c>
      <c r="H133" t="s" s="25">
        <v>8</v>
      </c>
      <c r="I133" s="164"/>
      <c r="J133" s="158"/>
    </row>
    <row r="134" ht="15.75" customHeight="1">
      <c r="A134" s="9"/>
      <c r="B134" s="178"/>
      <c r="C134" s="7"/>
      <c r="D134" s="7"/>
      <c r="E134" t="s" s="26">
        <v>384</v>
      </c>
      <c r="F134" s="188">
        <v>81050</v>
      </c>
      <c r="G134" t="s" s="156">
        <v>394</v>
      </c>
      <c r="H134" t="s" s="165">
        <v>8</v>
      </c>
      <c r="I134" s="166" cm="1">
        <f t="array" ref="I134">I132+I131+I130+I129</f>
        <v>0</v>
      </c>
      <c r="J134" s="167" cm="1">
        <f t="array" ref="J134">J130+J129</f>
        <v>0</v>
      </c>
    </row>
    <row r="135" ht="14.05" customHeight="1">
      <c r="A135" s="9"/>
      <c r="B135" s="178"/>
      <c r="C135" s="7"/>
      <c r="D135" s="7"/>
      <c r="E135" t="s" s="26">
        <v>395</v>
      </c>
      <c r="F135" s="144">
        <v>3309.25</v>
      </c>
      <c r="G135" t="s" s="26">
        <v>8</v>
      </c>
      <c r="H135" t="s" s="168">
        <v>8</v>
      </c>
      <c r="I135" s="78"/>
      <c r="J135" s="169"/>
    </row>
    <row r="136" ht="15.75" customHeight="1">
      <c r="A136" s="9"/>
      <c r="B136" s="179"/>
      <c r="C136" s="8"/>
      <c r="D136" s="8"/>
      <c r="E136" t="s" s="192">
        <v>396</v>
      </c>
      <c r="F136" s="170">
        <v>2100</v>
      </c>
      <c r="G136" t="s" s="192">
        <v>397</v>
      </c>
      <c r="H136" s="170"/>
      <c r="I136" s="8"/>
      <c r="J136" s="17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J80"/>
  <sheetViews>
    <sheetView workbookViewId="0" showGridLines="0" defaultGridColor="1"/>
  </sheetViews>
  <sheetFormatPr defaultColWidth="10.8333" defaultRowHeight="15" customHeight="1" outlineLevelRow="0" outlineLevelCol="0"/>
  <cols>
    <col min="1" max="4" width="10.8516" style="197" customWidth="1"/>
    <col min="5" max="5" width="32.6719" style="197" customWidth="1"/>
    <col min="6" max="6" width="35" style="197" customWidth="1"/>
    <col min="7" max="7" width="13.1719" style="197" customWidth="1"/>
    <col min="8" max="9" width="10.8516" style="197" customWidth="1"/>
    <col min="10" max="10" width="16.1719" style="197" customWidth="1"/>
    <col min="11" max="16384" width="10.8516" style="197" customWidth="1"/>
  </cols>
  <sheetData>
    <row r="1" ht="15.75" customHeight="1">
      <c r="A1" s="7"/>
      <c r="B1" s="8"/>
      <c r="C1" s="8"/>
      <c r="D1" s="8"/>
      <c r="E1" s="8"/>
      <c r="F1" s="8"/>
      <c r="G1" s="8"/>
      <c r="H1" s="8"/>
      <c r="I1" s="8"/>
      <c r="J1" s="8"/>
    </row>
    <row r="2" ht="18" customHeight="1">
      <c r="A2" s="9"/>
      <c r="B2" t="s" s="107">
        <v>77</v>
      </c>
      <c r="C2" s="108"/>
      <c r="D2" s="108"/>
      <c r="E2" s="85"/>
      <c r="F2" s="84"/>
      <c r="G2" s="84"/>
      <c r="H2" s="84"/>
      <c r="I2" s="85"/>
      <c r="J2" s="146"/>
    </row>
    <row r="3" ht="18" customHeight="1">
      <c r="A3" s="9"/>
      <c r="B3" t="s" s="86">
        <v>145</v>
      </c>
      <c r="C3" s="87"/>
      <c r="D3" s="87"/>
      <c r="E3" s="88"/>
      <c r="F3" s="88"/>
      <c r="G3" s="88"/>
      <c r="H3" s="113"/>
      <c r="I3" s="88"/>
      <c r="J3" s="147"/>
    </row>
    <row r="4" ht="16.5" customHeight="1">
      <c r="A4" s="9"/>
      <c r="B4" s="110"/>
      <c r="C4" s="89"/>
      <c r="D4" s="89"/>
      <c r="E4" t="s" s="90">
        <v>78</v>
      </c>
      <c r="F4" t="s" s="90">
        <v>52</v>
      </c>
      <c r="G4" s="89"/>
      <c r="H4" t="s" s="90">
        <v>53</v>
      </c>
      <c r="I4" t="s" s="90">
        <v>53</v>
      </c>
      <c r="J4" t="s" s="148">
        <v>53</v>
      </c>
    </row>
    <row r="5" ht="33" customHeight="1">
      <c r="A5" s="9"/>
      <c r="B5" t="s" s="111">
        <v>79</v>
      </c>
      <c r="C5" t="s" s="90">
        <v>54</v>
      </c>
      <c r="D5" t="s" s="90">
        <v>364</v>
      </c>
      <c r="E5" s="114">
        <v>12061001385</v>
      </c>
      <c r="F5" t="s" s="90">
        <v>55</v>
      </c>
      <c r="G5" t="s" s="90">
        <v>8</v>
      </c>
      <c r="H5" t="s" s="90">
        <v>109</v>
      </c>
      <c r="I5" t="s" s="90">
        <v>365</v>
      </c>
      <c r="J5" t="s" s="148">
        <v>366</v>
      </c>
    </row>
    <row r="6" ht="16.5" customHeight="1">
      <c r="A6" s="9"/>
      <c r="B6" t="s" s="111">
        <v>8</v>
      </c>
      <c r="C6" t="s" s="94">
        <v>58</v>
      </c>
      <c r="D6" s="149"/>
      <c r="E6" t="s" s="95">
        <v>8</v>
      </c>
      <c r="F6" s="89"/>
      <c r="G6" t="s" s="96">
        <v>59</v>
      </c>
      <c r="H6" s="97"/>
      <c r="I6" t="s" s="90">
        <v>8</v>
      </c>
      <c r="J6" s="147" cm="1">
        <f t="array" ref="J6">829465.86-500</f>
        <v>828965.86</v>
      </c>
    </row>
    <row r="7" ht="13.55" customHeight="1">
      <c r="A7" s="9"/>
      <c r="B7" s="112">
        <v>45810</v>
      </c>
      <c r="C7" s="98">
        <v>2082</v>
      </c>
      <c r="D7" t="s" s="19">
        <v>367</v>
      </c>
      <c r="E7" t="s" s="80">
        <v>60</v>
      </c>
      <c r="F7" t="s" s="80">
        <v>146</v>
      </c>
      <c r="G7" s="34">
        <v>500</v>
      </c>
      <c r="H7" s="34"/>
      <c r="I7" s="35"/>
      <c r="J7" s="147" cm="1">
        <f t="array" ref="J7">J6+G7</f>
        <v>829465.86</v>
      </c>
    </row>
    <row r="8" ht="13.55" customHeight="1">
      <c r="A8" s="9"/>
      <c r="B8" s="112">
        <v>45812</v>
      </c>
      <c r="C8" s="98"/>
      <c r="D8" t="s" s="19">
        <v>367</v>
      </c>
      <c r="E8" t="s" s="80">
        <v>60</v>
      </c>
      <c r="F8" t="s" s="80">
        <v>147</v>
      </c>
      <c r="G8" s="99"/>
      <c r="H8" s="34">
        <v>500</v>
      </c>
      <c r="I8" s="35"/>
      <c r="J8" s="147" cm="1">
        <f t="array" ref="J8">J7+H8</f>
        <v>829965.86</v>
      </c>
    </row>
    <row r="9" ht="13.55" customHeight="1">
      <c r="A9" s="9"/>
      <c r="B9" s="112">
        <v>45813</v>
      </c>
      <c r="C9" s="100"/>
      <c r="D9" t="s" s="19">
        <v>367</v>
      </c>
      <c r="E9" t="s" s="80">
        <v>148</v>
      </c>
      <c r="F9" t="s" s="80">
        <v>149</v>
      </c>
      <c r="G9" s="99">
        <v>3309.25</v>
      </c>
      <c r="H9" s="34"/>
      <c r="I9" s="35"/>
      <c r="J9" s="147" cm="1">
        <f t="array" ref="J9">J8+G9</f>
        <v>833275.11</v>
      </c>
    </row>
    <row r="10" ht="13.55" customHeight="1">
      <c r="A10" s="9"/>
      <c r="B10" s="112">
        <v>45818</v>
      </c>
      <c r="C10" s="98"/>
      <c r="D10" t="s" s="19">
        <v>367</v>
      </c>
      <c r="E10" t="s" s="80">
        <v>60</v>
      </c>
      <c r="F10" t="s" s="80">
        <v>150</v>
      </c>
      <c r="G10" s="34"/>
      <c r="H10" s="34">
        <v>1000</v>
      </c>
      <c r="I10" s="35"/>
      <c r="J10" s="147" cm="1">
        <f t="array" ref="J10">J9+H10</f>
        <v>834275.11</v>
      </c>
    </row>
    <row r="11" ht="13.55" customHeight="1">
      <c r="A11" s="9"/>
      <c r="B11" s="112">
        <v>45824</v>
      </c>
      <c r="C11" s="98"/>
      <c r="D11" t="s" s="19">
        <v>367</v>
      </c>
      <c r="E11" t="s" s="80">
        <v>99</v>
      </c>
      <c r="F11" t="s" s="80">
        <v>151</v>
      </c>
      <c r="G11" s="34">
        <v>21050</v>
      </c>
      <c r="H11" s="34"/>
      <c r="I11" s="35"/>
      <c r="J11" s="147" cm="1">
        <f t="array" ref="J11">J10+H11</f>
        <v>834275.11</v>
      </c>
    </row>
    <row r="12" ht="13.55" customHeight="1">
      <c r="A12" s="9"/>
      <c r="B12" s="112">
        <v>45824</v>
      </c>
      <c r="C12" s="98"/>
      <c r="D12" t="s" s="19">
        <v>367</v>
      </c>
      <c r="E12" t="s" s="80">
        <v>99</v>
      </c>
      <c r="F12" t="s" s="80">
        <v>151</v>
      </c>
      <c r="G12" s="34">
        <v>45500</v>
      </c>
      <c r="H12" s="34"/>
      <c r="I12" s="35"/>
      <c r="J12" s="147" cm="1">
        <f t="array" ref="J12">J11+H12</f>
        <v>834275.11</v>
      </c>
    </row>
    <row r="13" ht="13.55" customHeight="1">
      <c r="A13" s="9"/>
      <c r="B13" s="112">
        <v>45824</v>
      </c>
      <c r="C13" s="100"/>
      <c r="D13" t="s" s="19">
        <v>367</v>
      </c>
      <c r="E13" t="s" s="80">
        <v>99</v>
      </c>
      <c r="F13" t="s" s="80">
        <v>152</v>
      </c>
      <c r="G13" s="99">
        <v>6500</v>
      </c>
      <c r="H13" s="34"/>
      <c r="I13" s="35"/>
      <c r="J13" s="147" cm="1">
        <f t="array" ref="J13">J12+H13</f>
        <v>834275.11</v>
      </c>
    </row>
    <row r="14" ht="13.55" customHeight="1">
      <c r="A14" s="9"/>
      <c r="B14" s="112">
        <v>45824</v>
      </c>
      <c r="C14" s="98">
        <v>2194</v>
      </c>
      <c r="D14" t="s" s="19">
        <v>367</v>
      </c>
      <c r="E14" t="s" s="80">
        <v>60</v>
      </c>
      <c r="F14" t="s" s="80">
        <v>121</v>
      </c>
      <c r="G14" s="99">
        <v>1000</v>
      </c>
      <c r="H14" s="34"/>
      <c r="I14" s="35"/>
      <c r="J14" s="147" cm="1">
        <f t="array" ref="J14">J13+G14</f>
        <v>835275.11</v>
      </c>
    </row>
    <row r="15" ht="13.55" customHeight="1">
      <c r="A15" s="9"/>
      <c r="B15" s="112">
        <v>45824</v>
      </c>
      <c r="C15" s="117">
        <v>2195</v>
      </c>
      <c r="D15" t="s" s="19">
        <v>367</v>
      </c>
      <c r="E15" t="s" s="80">
        <v>60</v>
      </c>
      <c r="F15" t="s" s="80">
        <v>153</v>
      </c>
      <c r="G15" s="99">
        <v>500</v>
      </c>
      <c r="H15" s="34"/>
      <c r="I15" s="35"/>
      <c r="J15" s="147" cm="1">
        <f t="array" ref="J15">J14+G15</f>
        <v>835775.11</v>
      </c>
    </row>
    <row r="16" ht="13.55" customHeight="1">
      <c r="A16" s="9"/>
      <c r="B16" s="112">
        <v>45824</v>
      </c>
      <c r="C16" s="117">
        <v>2196</v>
      </c>
      <c r="D16" t="s" s="19">
        <v>367</v>
      </c>
      <c r="E16" t="s" s="80">
        <v>60</v>
      </c>
      <c r="F16" t="s" s="80">
        <v>154</v>
      </c>
      <c r="G16" s="99">
        <v>500</v>
      </c>
      <c r="H16" s="34"/>
      <c r="I16" s="35"/>
      <c r="J16" s="147" cm="1">
        <f t="array" ref="J16">J15+G16</f>
        <v>836275.11</v>
      </c>
    </row>
    <row r="17" ht="13.55" customHeight="1">
      <c r="A17" s="9"/>
      <c r="B17" s="112">
        <v>45826</v>
      </c>
      <c r="C17" s="98"/>
      <c r="D17" t="s" s="19">
        <v>367</v>
      </c>
      <c r="E17" t="s" s="80">
        <v>60</v>
      </c>
      <c r="F17" t="s" s="80">
        <v>155</v>
      </c>
      <c r="G17" s="34"/>
      <c r="H17" s="34">
        <v>500</v>
      </c>
      <c r="I17" s="35"/>
      <c r="J17" s="147" cm="1">
        <f t="array" ref="J17">J16+G17</f>
        <v>836275.11</v>
      </c>
    </row>
    <row r="18" ht="13.55" customHeight="1">
      <c r="A18" s="9"/>
      <c r="B18" s="112">
        <v>45826</v>
      </c>
      <c r="C18" s="98"/>
      <c r="D18" t="s" s="19">
        <v>367</v>
      </c>
      <c r="E18" t="s" s="80">
        <v>60</v>
      </c>
      <c r="F18" t="s" s="80">
        <v>112</v>
      </c>
      <c r="G18" s="115"/>
      <c r="H18" s="34">
        <v>500</v>
      </c>
      <c r="I18" s="35"/>
      <c r="J18" s="147" cm="1">
        <f t="array" ref="J18">J17+G18</f>
        <v>836275.11</v>
      </c>
    </row>
    <row r="19" ht="13.55" customHeight="1">
      <c r="A19" s="9"/>
      <c r="B19" s="112">
        <v>45826</v>
      </c>
      <c r="C19" s="98"/>
      <c r="D19" t="s" s="19">
        <v>367</v>
      </c>
      <c r="E19" t="s" s="80">
        <v>60</v>
      </c>
      <c r="F19" t="s" s="80">
        <v>156</v>
      </c>
      <c r="G19" s="115"/>
      <c r="H19" s="34">
        <v>200</v>
      </c>
      <c r="I19" s="35"/>
      <c r="J19" s="147" cm="1">
        <f t="array" ref="J19">J18+G19</f>
        <v>836275.11</v>
      </c>
    </row>
    <row r="20" ht="13.55" customHeight="1">
      <c r="A20" s="9"/>
      <c r="B20" s="112">
        <v>45827</v>
      </c>
      <c r="C20" s="98"/>
      <c r="D20" t="s" s="19">
        <v>367</v>
      </c>
      <c r="E20" t="s" s="80">
        <v>99</v>
      </c>
      <c r="F20" t="s" s="80">
        <v>157</v>
      </c>
      <c r="G20" s="115">
        <v>1000</v>
      </c>
      <c r="H20" s="34"/>
      <c r="I20" s="35"/>
      <c r="J20" s="147" cm="1">
        <f t="array" ref="J20">J19+G20</f>
        <v>837275.11</v>
      </c>
    </row>
    <row r="21" ht="13.55" customHeight="1">
      <c r="A21" s="9"/>
      <c r="B21" s="112">
        <v>45827</v>
      </c>
      <c r="C21" s="98"/>
      <c r="D21" t="s" s="19">
        <v>367</v>
      </c>
      <c r="E21" t="s" s="80">
        <v>99</v>
      </c>
      <c r="F21" t="s" s="80">
        <v>158</v>
      </c>
      <c r="G21" s="34">
        <v>18350</v>
      </c>
      <c r="H21" s="34"/>
      <c r="I21" s="35"/>
      <c r="J21" s="147" cm="1">
        <f t="array" ref="J21">J20+H21</f>
        <v>837275.11</v>
      </c>
    </row>
    <row r="22" ht="13.55" customHeight="1">
      <c r="A22" s="9"/>
      <c r="B22" s="112">
        <v>45827</v>
      </c>
      <c r="C22" s="98"/>
      <c r="D22" t="s" s="19">
        <v>367</v>
      </c>
      <c r="E22" t="s" s="80">
        <v>99</v>
      </c>
      <c r="F22" t="s" s="80">
        <v>159</v>
      </c>
      <c r="G22" s="34">
        <v>52700</v>
      </c>
      <c r="H22" s="34"/>
      <c r="I22" s="35"/>
      <c r="J22" s="147" cm="1">
        <f t="array" ref="J22">J21+G22</f>
        <v>889975.11</v>
      </c>
    </row>
    <row r="23" ht="13.55" customHeight="1">
      <c r="A23" s="9"/>
      <c r="B23" s="112">
        <v>45831</v>
      </c>
      <c r="C23" s="98"/>
      <c r="D23" t="s" s="19">
        <v>367</v>
      </c>
      <c r="E23" t="s" s="80">
        <v>99</v>
      </c>
      <c r="F23" t="s" s="80">
        <v>160</v>
      </c>
      <c r="G23" s="34">
        <v>500</v>
      </c>
      <c r="H23" s="34"/>
      <c r="I23" s="35"/>
      <c r="J23" s="147" cm="1">
        <f t="array" ref="J23">J22+G23</f>
        <v>890475.11</v>
      </c>
    </row>
    <row r="24" ht="13.55" customHeight="1">
      <c r="A24" s="9"/>
      <c r="B24" s="112">
        <v>45831</v>
      </c>
      <c r="C24" s="98"/>
      <c r="D24" t="s" s="19">
        <v>367</v>
      </c>
      <c r="E24" t="s" s="80">
        <v>99</v>
      </c>
      <c r="F24" t="s" s="80">
        <v>160</v>
      </c>
      <c r="G24" s="34">
        <v>2400</v>
      </c>
      <c r="H24" s="34"/>
      <c r="I24" s="35"/>
      <c r="J24" s="147" cm="1">
        <f t="array" ref="J24">J23+G24</f>
        <v>892875.11</v>
      </c>
    </row>
    <row r="25" ht="13.55" customHeight="1">
      <c r="A25" s="9"/>
      <c r="B25" s="112">
        <v>45831</v>
      </c>
      <c r="C25" s="98"/>
      <c r="D25" t="s" s="19">
        <v>367</v>
      </c>
      <c r="E25" t="s" s="80">
        <v>99</v>
      </c>
      <c r="F25" t="s" s="80">
        <v>160</v>
      </c>
      <c r="G25" s="34">
        <v>1500</v>
      </c>
      <c r="H25" s="34"/>
      <c r="I25" s="35"/>
      <c r="J25" s="147" cm="1">
        <f t="array" ref="J25">J24+G25</f>
        <v>894375.11</v>
      </c>
    </row>
    <row r="26" ht="13.55" customHeight="1">
      <c r="A26" s="9"/>
      <c r="B26" s="112">
        <v>45832</v>
      </c>
      <c r="C26" s="98"/>
      <c r="D26" t="s" s="19">
        <v>367</v>
      </c>
      <c r="E26" t="s" s="80">
        <v>60</v>
      </c>
      <c r="F26" t="s" s="80">
        <v>161</v>
      </c>
      <c r="G26" s="34"/>
      <c r="H26" s="34">
        <v>500</v>
      </c>
      <c r="I26" s="35"/>
      <c r="J26" s="147" cm="1">
        <f t="array" ref="J26">J25+G26</f>
        <v>894375.11</v>
      </c>
    </row>
    <row r="27" ht="13.55" customHeight="1">
      <c r="A27" s="9"/>
      <c r="B27" s="112">
        <v>45834</v>
      </c>
      <c r="C27" s="98">
        <v>2200</v>
      </c>
      <c r="D27" t="s" s="19">
        <v>367</v>
      </c>
      <c r="E27" t="s" s="80">
        <v>60</v>
      </c>
      <c r="F27" t="s" s="80">
        <v>162</v>
      </c>
      <c r="G27" s="34">
        <v>1500</v>
      </c>
      <c r="H27" s="34"/>
      <c r="I27" s="35"/>
      <c r="J27" s="147" cm="1">
        <f t="array" ref="J27">J26+G27</f>
        <v>895875.11</v>
      </c>
    </row>
    <row r="28" ht="13.55" customHeight="1">
      <c r="A28" s="9"/>
      <c r="B28" s="112">
        <v>45834</v>
      </c>
      <c r="C28" s="98">
        <v>2201</v>
      </c>
      <c r="D28" t="s" s="19">
        <v>367</v>
      </c>
      <c r="E28" t="s" s="80">
        <v>60</v>
      </c>
      <c r="F28" t="s" s="80">
        <v>119</v>
      </c>
      <c r="G28" s="34">
        <v>1500</v>
      </c>
      <c r="H28" s="34"/>
      <c r="I28" s="35"/>
      <c r="J28" s="147" cm="1">
        <f t="array" ref="J28">J27+G28</f>
        <v>897375.11</v>
      </c>
    </row>
    <row r="29" ht="13.55" customHeight="1">
      <c r="A29" s="9"/>
      <c r="B29" s="112">
        <v>45838</v>
      </c>
      <c r="C29" s="98">
        <v>2216</v>
      </c>
      <c r="D29" t="s" s="19">
        <v>367</v>
      </c>
      <c r="E29" t="s" s="80">
        <v>60</v>
      </c>
      <c r="F29" t="s" s="80">
        <v>98</v>
      </c>
      <c r="G29" s="34">
        <v>500</v>
      </c>
      <c r="H29" s="34"/>
      <c r="I29" s="35"/>
      <c r="J29" s="147" cm="1">
        <f t="array" ref="J29">J28+G29</f>
        <v>897875.11</v>
      </c>
    </row>
    <row r="30" ht="13.55" customHeight="1">
      <c r="A30" s="9"/>
      <c r="B30" s="112"/>
      <c r="C30" s="98"/>
      <c r="D30" s="98"/>
      <c r="E30" s="35"/>
      <c r="F30" s="35"/>
      <c r="G30" s="34"/>
      <c r="H30" s="34"/>
      <c r="I30" s="35"/>
      <c r="J30" s="147" cm="1">
        <f t="array" ref="J30">J29+G30</f>
        <v>897875.11</v>
      </c>
    </row>
    <row r="31" ht="13.55" customHeight="1">
      <c r="A31" s="7"/>
      <c r="B31" s="118"/>
      <c r="C31" s="98"/>
      <c r="D31" s="98"/>
      <c r="E31" s="35"/>
      <c r="F31" s="35"/>
      <c r="G31" s="34"/>
      <c r="H31" s="34"/>
      <c r="I31" s="35"/>
      <c r="J31" s="147"/>
    </row>
    <row r="32" ht="13.55" customHeight="1">
      <c r="A32" s="7"/>
      <c r="B32" s="118"/>
      <c r="C32" s="98"/>
      <c r="D32" s="98"/>
      <c r="E32" s="35"/>
      <c r="F32" s="35"/>
      <c r="G32" s="34"/>
      <c r="H32" s="34"/>
      <c r="I32" s="35"/>
      <c r="J32" s="147"/>
    </row>
    <row r="33" ht="13.55" customHeight="1">
      <c r="A33" s="79"/>
      <c r="B33" s="101"/>
      <c r="C33" s="98"/>
      <c r="D33" s="98"/>
      <c r="E33" s="35"/>
      <c r="F33" s="101"/>
      <c r="G33" s="34"/>
      <c r="H33" s="34"/>
      <c r="I33" s="34"/>
      <c r="J33" s="147"/>
    </row>
    <row r="34" ht="13.55" customHeight="1">
      <c r="A34" s="79"/>
      <c r="B34" s="101">
        <v>45813</v>
      </c>
      <c r="C34" s="101"/>
      <c r="D34" t="s" s="19">
        <v>368</v>
      </c>
      <c r="E34" t="s" s="80">
        <v>268</v>
      </c>
      <c r="F34" t="s" s="80">
        <v>208</v>
      </c>
      <c r="G34" s="34"/>
      <c r="H34" s="34"/>
      <c r="I34" s="34">
        <v>3309.25</v>
      </c>
      <c r="J34" s="147" cm="1">
        <f t="array" ref="J34">J29-I34</f>
        <v>894565.86</v>
      </c>
    </row>
    <row r="35" ht="13.55" customHeight="1">
      <c r="A35" s="79"/>
      <c r="B35" s="101">
        <v>45813</v>
      </c>
      <c r="C35" s="101"/>
      <c r="D35" t="s" s="19">
        <v>368</v>
      </c>
      <c r="E35" t="s" s="80">
        <v>268</v>
      </c>
      <c r="F35" t="s" s="80">
        <v>208</v>
      </c>
      <c r="G35" s="34"/>
      <c r="H35" s="34"/>
      <c r="I35" s="34">
        <v>3309.25</v>
      </c>
      <c r="J35" s="147" cm="1">
        <f t="array" ref="J35">J34-I35</f>
        <v>891256.61</v>
      </c>
    </row>
    <row r="36" ht="13.55" customHeight="1">
      <c r="A36" s="79"/>
      <c r="B36" s="101">
        <v>45821</v>
      </c>
      <c r="C36" s="101"/>
      <c r="D36" t="s" s="19">
        <v>368</v>
      </c>
      <c r="E36" t="s" s="80">
        <v>99</v>
      </c>
      <c r="F36" t="s" s="80">
        <v>269</v>
      </c>
      <c r="G36" s="34"/>
      <c r="H36" s="34"/>
      <c r="I36" s="34">
        <v>14002.08</v>
      </c>
      <c r="J36" s="147"/>
    </row>
    <row r="37" ht="13.55" customHeight="1">
      <c r="A37" s="79"/>
      <c r="B37" s="101">
        <v>45821</v>
      </c>
      <c r="C37" s="101"/>
      <c r="D37" t="s" s="19">
        <v>368</v>
      </c>
      <c r="E37" t="s" s="80">
        <v>99</v>
      </c>
      <c r="F37" t="s" s="80">
        <v>270</v>
      </c>
      <c r="G37" s="34"/>
      <c r="H37" s="34"/>
      <c r="I37" s="34">
        <v>10</v>
      </c>
      <c r="J37" s="147" cm="1">
        <f t="array" ref="J37">J35-I37</f>
        <v>891246.61</v>
      </c>
    </row>
    <row r="38" ht="13.55" customHeight="1">
      <c r="A38" s="79"/>
      <c r="B38" s="101">
        <v>45821</v>
      </c>
      <c r="C38" s="101"/>
      <c r="D38" t="s" s="19">
        <v>368</v>
      </c>
      <c r="E38" t="s" s="80">
        <v>99</v>
      </c>
      <c r="F38" t="s" s="80">
        <v>271</v>
      </c>
      <c r="G38" s="34"/>
      <c r="H38" s="34"/>
      <c r="I38" s="34">
        <v>1.6</v>
      </c>
      <c r="J38" s="147" cm="1">
        <f t="array" ref="J38">J37-I38</f>
        <v>891245.01</v>
      </c>
    </row>
    <row r="39" ht="13.55" customHeight="1">
      <c r="A39" s="79"/>
      <c r="B39" s="101">
        <v>45824</v>
      </c>
      <c r="C39" s="101"/>
      <c r="D39" t="s" s="19">
        <v>368</v>
      </c>
      <c r="E39" t="s" s="80">
        <v>99</v>
      </c>
      <c r="F39" t="s" s="80">
        <v>235</v>
      </c>
      <c r="G39" s="34"/>
      <c r="H39" s="34"/>
      <c r="I39" s="34">
        <v>620.98</v>
      </c>
      <c r="J39" s="147" cm="1">
        <f t="array" ref="J39">J38-I39</f>
        <v>890624.03</v>
      </c>
    </row>
    <row r="40" ht="13.55" customHeight="1">
      <c r="A40" s="79"/>
      <c r="B40" s="101">
        <v>45824</v>
      </c>
      <c r="C40" s="101"/>
      <c r="D40" t="s" s="19">
        <v>368</v>
      </c>
      <c r="E40" t="s" s="80">
        <v>99</v>
      </c>
      <c r="F40" t="s" s="80">
        <v>272</v>
      </c>
      <c r="G40" s="34"/>
      <c r="H40" s="34"/>
      <c r="I40" s="34">
        <v>99.36</v>
      </c>
      <c r="J40" s="147" cm="1">
        <f t="array" ref="J40">J39-I40</f>
        <v>890524.67</v>
      </c>
    </row>
    <row r="41" ht="13.55" customHeight="1">
      <c r="A41" s="9"/>
      <c r="B41" s="112">
        <v>45824</v>
      </c>
      <c r="C41" s="101"/>
      <c r="D41" t="s" s="19">
        <v>368</v>
      </c>
      <c r="E41" t="s" s="80">
        <v>99</v>
      </c>
      <c r="F41" t="s" s="80">
        <v>273</v>
      </c>
      <c r="G41" s="34"/>
      <c r="H41" s="34"/>
      <c r="I41" s="34">
        <v>910</v>
      </c>
      <c r="J41" s="147" cm="1">
        <f t="array" ref="J41">J40-I41</f>
        <v>889614.67</v>
      </c>
    </row>
    <row r="42" ht="13.55" customHeight="1">
      <c r="A42" s="9"/>
      <c r="B42" s="112">
        <v>45824</v>
      </c>
      <c r="C42" s="101"/>
      <c r="D42" t="s" s="19">
        <v>368</v>
      </c>
      <c r="E42" t="s" s="80">
        <v>99</v>
      </c>
      <c r="F42" t="s" s="80">
        <v>274</v>
      </c>
      <c r="G42" s="34"/>
      <c r="H42" s="34"/>
      <c r="I42" s="34">
        <v>145.6</v>
      </c>
      <c r="J42" s="147" cm="1">
        <f t="array" ref="J42">J41-I42</f>
        <v>889469.0699999999</v>
      </c>
    </row>
    <row r="43" ht="13.55" customHeight="1">
      <c r="A43" s="9"/>
      <c r="B43" s="112">
        <v>45824</v>
      </c>
      <c r="C43" s="101"/>
      <c r="D43" t="s" s="19">
        <v>368</v>
      </c>
      <c r="E43" t="s" s="80">
        <v>99</v>
      </c>
      <c r="F43" t="s" s="80">
        <v>275</v>
      </c>
      <c r="G43" s="34"/>
      <c r="H43" s="34"/>
      <c r="I43" s="34">
        <v>123.5</v>
      </c>
      <c r="J43" s="147" cm="1">
        <f t="array" ref="J43">J42-I43</f>
        <v>889345.5699999999</v>
      </c>
    </row>
    <row r="44" ht="13.55" customHeight="1">
      <c r="A44" s="9"/>
      <c r="B44" s="112">
        <v>45824</v>
      </c>
      <c r="C44" s="101"/>
      <c r="D44" t="s" s="19">
        <v>368</v>
      </c>
      <c r="E44" t="s" s="80">
        <v>99</v>
      </c>
      <c r="F44" t="s" s="80">
        <v>276</v>
      </c>
      <c r="G44" s="34"/>
      <c r="H44" s="34"/>
      <c r="I44" s="34">
        <v>19.75</v>
      </c>
      <c r="J44" s="147" cm="1">
        <f t="array" ref="J44">J43-I44</f>
        <v>889325.8199999999</v>
      </c>
    </row>
    <row r="45" ht="13.55" customHeight="1">
      <c r="A45" s="9"/>
      <c r="B45" s="112">
        <v>45825</v>
      </c>
      <c r="C45" s="101"/>
      <c r="D45" t="s" s="19">
        <v>368</v>
      </c>
      <c r="E45" t="s" s="80">
        <v>277</v>
      </c>
      <c r="F45" t="s" s="80">
        <v>278</v>
      </c>
      <c r="G45" s="34"/>
      <c r="H45" s="34"/>
      <c r="I45" s="34">
        <v>348</v>
      </c>
      <c r="J45" s="147" cm="1">
        <f t="array" ref="J45">J44-I45</f>
        <v>888977.8199999999</v>
      </c>
    </row>
    <row r="46" ht="13.55" customHeight="1">
      <c r="A46" s="9"/>
      <c r="B46" s="112">
        <v>45827</v>
      </c>
      <c r="C46" s="101"/>
      <c r="D46" t="s" s="19">
        <v>368</v>
      </c>
      <c r="E46" t="s" s="80">
        <v>99</v>
      </c>
      <c r="F46" t="s" s="80">
        <v>279</v>
      </c>
      <c r="G46" s="34"/>
      <c r="H46" s="34"/>
      <c r="I46" s="34">
        <v>1058.75</v>
      </c>
      <c r="J46" s="147" cm="1">
        <f t="array" ref="J46">J45-I46</f>
        <v>887919.0699999999</v>
      </c>
    </row>
    <row r="47" ht="13.55" customHeight="1">
      <c r="A47" s="9"/>
      <c r="B47" s="112">
        <v>45827</v>
      </c>
      <c r="C47" s="101"/>
      <c r="D47" t="s" s="19">
        <v>368</v>
      </c>
      <c r="E47" t="s" s="80">
        <v>99</v>
      </c>
      <c r="F47" t="s" s="80">
        <v>279</v>
      </c>
      <c r="G47" s="34"/>
      <c r="H47" s="34"/>
      <c r="I47" s="34">
        <v>169.4</v>
      </c>
      <c r="J47" s="147" cm="1">
        <f t="array" ref="J47">J46-I47</f>
        <v>887749.67</v>
      </c>
    </row>
    <row r="48" ht="13.55" customHeight="1">
      <c r="A48" s="9"/>
      <c r="B48" s="112">
        <v>45827</v>
      </c>
      <c r="C48" s="101"/>
      <c r="D48" t="s" s="19">
        <v>368</v>
      </c>
      <c r="E48" t="s" s="80">
        <v>99</v>
      </c>
      <c r="F48" t="s" s="80">
        <v>275</v>
      </c>
      <c r="G48" s="34"/>
      <c r="H48" s="34"/>
      <c r="I48" s="34">
        <v>348.65</v>
      </c>
      <c r="J48" s="147" cm="1">
        <f t="array" ref="J48">J47-I48</f>
        <v>887401.02</v>
      </c>
    </row>
    <row r="49" ht="13.55" customHeight="1">
      <c r="A49" s="9"/>
      <c r="B49" s="112">
        <v>45827</v>
      </c>
      <c r="C49" s="101"/>
      <c r="D49" t="s" s="19">
        <v>368</v>
      </c>
      <c r="E49" t="s" s="80">
        <v>99</v>
      </c>
      <c r="F49" t="s" s="80">
        <v>280</v>
      </c>
      <c r="G49" s="34"/>
      <c r="H49" s="34"/>
      <c r="I49" s="34">
        <v>55.77</v>
      </c>
      <c r="J49" s="147" cm="1">
        <f t="array" ref="J49">J48-I49</f>
        <v>887345.25</v>
      </c>
    </row>
    <row r="50" ht="13.55" customHeight="1">
      <c r="A50" s="9"/>
      <c r="B50" s="112">
        <v>45827</v>
      </c>
      <c r="C50" t="s" s="80">
        <v>8</v>
      </c>
      <c r="D50" t="s" s="19">
        <v>368</v>
      </c>
      <c r="E50" t="s" s="80">
        <v>99</v>
      </c>
      <c r="F50" t="s" s="80">
        <v>235</v>
      </c>
      <c r="G50" s="34"/>
      <c r="H50" s="34"/>
      <c r="I50" s="34">
        <v>29.5</v>
      </c>
      <c r="J50" s="147" cm="1">
        <f t="array" ref="J50">J49-I50</f>
        <v>887315.75</v>
      </c>
    </row>
    <row r="51" ht="13.55" customHeight="1">
      <c r="A51" s="9"/>
      <c r="B51" s="112">
        <v>45827</v>
      </c>
      <c r="C51" s="101"/>
      <c r="D51" t="s" s="19">
        <v>368</v>
      </c>
      <c r="E51" t="s" s="80">
        <v>99</v>
      </c>
      <c r="F51" t="s" s="80">
        <v>281</v>
      </c>
      <c r="G51" s="34"/>
      <c r="H51" s="34"/>
      <c r="I51" s="34">
        <v>4.72</v>
      </c>
      <c r="J51" s="147" cm="1">
        <f t="array" ref="J51">J50-I51</f>
        <v>887311.03</v>
      </c>
    </row>
    <row r="52" ht="13.55" customHeight="1">
      <c r="A52" s="9"/>
      <c r="B52" s="112">
        <v>45831</v>
      </c>
      <c r="C52" s="101"/>
      <c r="D52" t="s" s="19">
        <v>368</v>
      </c>
      <c r="E52" t="s" s="80">
        <v>99</v>
      </c>
      <c r="F52" t="s" s="80">
        <v>235</v>
      </c>
      <c r="G52" s="34"/>
      <c r="H52" s="34"/>
      <c r="I52" s="34">
        <v>14.75</v>
      </c>
      <c r="J52" s="147" cm="1">
        <f t="array" ref="J52">J51-I52</f>
        <v>887296.28</v>
      </c>
    </row>
    <row r="53" ht="13.55" customHeight="1">
      <c r="A53" s="9"/>
      <c r="B53" s="112">
        <v>45831</v>
      </c>
      <c r="C53" s="101"/>
      <c r="D53" t="s" s="19">
        <v>368</v>
      </c>
      <c r="E53" t="s" s="80">
        <v>99</v>
      </c>
      <c r="F53" t="s" s="80">
        <v>272</v>
      </c>
      <c r="G53" s="34"/>
      <c r="H53" s="34"/>
      <c r="I53" s="34">
        <v>2.36</v>
      </c>
      <c r="J53" s="147" cm="1">
        <f t="array" ref="J53">J52-I53</f>
        <v>887293.92</v>
      </c>
    </row>
    <row r="54" ht="13.55" customHeight="1">
      <c r="A54" s="9"/>
      <c r="B54" s="112">
        <v>45831</v>
      </c>
      <c r="C54" s="35"/>
      <c r="D54" t="s" s="19">
        <v>368</v>
      </c>
      <c r="E54" t="s" s="80">
        <v>99</v>
      </c>
      <c r="F54" t="s" s="80">
        <v>282</v>
      </c>
      <c r="G54" s="34"/>
      <c r="H54" s="34"/>
      <c r="I54" s="34">
        <v>0.48</v>
      </c>
      <c r="J54" s="147" cm="1">
        <f t="array" ref="J54">J53-I54</f>
        <v>887293.4399999999</v>
      </c>
    </row>
    <row r="55" ht="13.55" customHeight="1">
      <c r="A55" s="9"/>
      <c r="B55" s="112">
        <v>45831</v>
      </c>
      <c r="C55" s="35"/>
      <c r="D55" t="s" s="19">
        <v>368</v>
      </c>
      <c r="E55" t="s" s="80">
        <v>99</v>
      </c>
      <c r="F55" t="s" s="80">
        <v>276</v>
      </c>
      <c r="G55" s="34"/>
      <c r="H55" s="34"/>
      <c r="I55" s="34">
        <v>7.68</v>
      </c>
      <c r="J55" s="147" cm="1">
        <f t="array" ref="J55">J54-I55</f>
        <v>887285.76</v>
      </c>
    </row>
    <row r="56" ht="13.55" customHeight="1">
      <c r="A56" s="9"/>
      <c r="B56" s="112">
        <v>45831</v>
      </c>
      <c r="C56" s="35"/>
      <c r="D56" t="s" s="19">
        <v>368</v>
      </c>
      <c r="E56" t="s" s="80">
        <v>99</v>
      </c>
      <c r="F56" t="s" s="80">
        <v>275</v>
      </c>
      <c r="G56" s="34"/>
      <c r="H56" s="34"/>
      <c r="I56" s="34">
        <v>28.5</v>
      </c>
      <c r="J56" s="147" cm="1">
        <f t="array" ref="J56">J55-I56</f>
        <v>887257.26</v>
      </c>
    </row>
    <row r="57" ht="13.55" customHeight="1">
      <c r="A57" s="9"/>
      <c r="B57" s="112">
        <v>45831</v>
      </c>
      <c r="C57" s="35"/>
      <c r="D57" t="s" s="19">
        <v>368</v>
      </c>
      <c r="E57" t="s" s="80">
        <v>99</v>
      </c>
      <c r="F57" t="s" s="80">
        <v>276</v>
      </c>
      <c r="G57" s="34"/>
      <c r="H57" s="34"/>
      <c r="I57" s="34">
        <v>4.56</v>
      </c>
      <c r="J57" s="147" cm="1">
        <f t="array" ref="J57">J56-I57</f>
        <v>887252.7</v>
      </c>
    </row>
    <row r="58" ht="13.55" customHeight="1">
      <c r="A58" s="9"/>
      <c r="B58" s="112">
        <v>45838</v>
      </c>
      <c r="C58" s="35"/>
      <c r="D58" t="s" s="19">
        <v>368</v>
      </c>
      <c r="E58" t="s" s="80">
        <v>197</v>
      </c>
      <c r="F58" t="s" s="80">
        <v>283</v>
      </c>
      <c r="G58" s="34"/>
      <c r="H58" s="34"/>
      <c r="I58" s="34">
        <v>14413.07</v>
      </c>
      <c r="J58" s="147" cm="1">
        <f t="array" ref="J58">J57-I58</f>
        <v>872839.63</v>
      </c>
    </row>
    <row r="59" ht="13.55" customHeight="1">
      <c r="A59" s="9"/>
      <c r="B59" s="112">
        <v>45838</v>
      </c>
      <c r="C59" s="35"/>
      <c r="D59" t="s" s="19">
        <v>368</v>
      </c>
      <c r="E59" t="s" s="80">
        <v>99</v>
      </c>
      <c r="F59" t="s" s="80">
        <v>284</v>
      </c>
      <c r="G59" s="34"/>
      <c r="H59" s="34"/>
      <c r="I59" s="34">
        <v>10</v>
      </c>
      <c r="J59" s="147" cm="1">
        <f t="array" ref="J59">J58-I59</f>
        <v>872829.63</v>
      </c>
    </row>
    <row r="60" ht="13.55" customHeight="1">
      <c r="A60" s="9"/>
      <c r="B60" s="112">
        <v>45838</v>
      </c>
      <c r="C60" s="35"/>
      <c r="D60" t="s" s="19">
        <v>368</v>
      </c>
      <c r="E60" t="s" s="80">
        <v>99</v>
      </c>
      <c r="F60" t="s" s="80">
        <v>271</v>
      </c>
      <c r="G60" s="34"/>
      <c r="H60" s="34"/>
      <c r="I60" s="34">
        <v>1.6</v>
      </c>
      <c r="J60" s="147" cm="1">
        <f t="array" ref="J60">J59-I60</f>
        <v>872828.03</v>
      </c>
    </row>
    <row r="61" ht="13.55" customHeight="1">
      <c r="A61" s="9"/>
      <c r="B61" s="112"/>
      <c r="C61" s="35"/>
      <c r="D61" s="35"/>
      <c r="E61" s="34"/>
      <c r="F61" s="35"/>
      <c r="G61" s="34"/>
      <c r="H61" s="34"/>
      <c r="I61" s="34"/>
      <c r="J61" s="147"/>
    </row>
    <row r="62" ht="13.55" customHeight="1">
      <c r="A62" s="9"/>
      <c r="B62" s="112"/>
      <c r="C62" s="35"/>
      <c r="D62" s="35"/>
      <c r="E62" s="34"/>
      <c r="F62" s="35"/>
      <c r="G62" s="34"/>
      <c r="H62" s="34"/>
      <c r="I62" s="34"/>
      <c r="J62" s="147"/>
    </row>
    <row r="63" ht="13.55" customHeight="1">
      <c r="A63" s="9"/>
      <c r="B63" s="112"/>
      <c r="C63" s="35"/>
      <c r="D63" s="35"/>
      <c r="E63" s="34"/>
      <c r="F63" s="35"/>
      <c r="G63" s="34" cm="1">
        <f t="array" ref="G63">SUM(G7:G62)</f>
        <v>158809.25</v>
      </c>
      <c r="H63" s="34" cm="1">
        <f t="array" ref="H63">SUM(H7:H62)</f>
        <v>3200</v>
      </c>
      <c r="I63" s="34" cm="1">
        <f t="array" ref="I63">SUM(I34:I62)</f>
        <v>39049.16</v>
      </c>
      <c r="J63" s="147"/>
    </row>
    <row r="64" ht="13.55" customHeight="1">
      <c r="A64" s="9"/>
      <c r="B64" s="112"/>
      <c r="C64" s="35"/>
      <c r="D64" s="35"/>
      <c r="E64" s="34"/>
      <c r="F64" s="35"/>
      <c r="G64" s="34"/>
      <c r="H64" s="34"/>
      <c r="I64" s="34"/>
      <c r="J64" s="147"/>
    </row>
    <row r="65" ht="13.55" customHeight="1">
      <c r="A65" s="9"/>
      <c r="B65" s="112"/>
      <c r="C65" s="35"/>
      <c r="D65" s="35"/>
      <c r="E65" s="34"/>
      <c r="F65" s="35"/>
      <c r="G65" s="34"/>
      <c r="H65" s="34"/>
      <c r="I65" s="34"/>
      <c r="J65" s="147"/>
    </row>
    <row r="66" ht="13.55" customHeight="1">
      <c r="A66" s="9"/>
      <c r="B66" s="112"/>
      <c r="C66" s="35"/>
      <c r="D66" s="35"/>
      <c r="E66" s="34"/>
      <c r="F66" s="35"/>
      <c r="G66" s="34"/>
      <c r="H66" s="34"/>
      <c r="I66" s="34"/>
      <c r="J66" s="147"/>
    </row>
    <row r="67" ht="13.55" customHeight="1">
      <c r="A67" s="9"/>
      <c r="B67" s="112"/>
      <c r="C67" s="35"/>
      <c r="D67" s="35"/>
      <c r="E67" s="34"/>
      <c r="F67" s="35"/>
      <c r="G67" s="34"/>
      <c r="H67" s="34"/>
      <c r="I67" s="34"/>
      <c r="J67" s="147"/>
    </row>
    <row r="68" ht="13.55" customHeight="1">
      <c r="A68" s="9"/>
      <c r="B68" s="112"/>
      <c r="C68" s="35"/>
      <c r="D68" s="35"/>
      <c r="E68" s="34"/>
      <c r="F68" s="35"/>
      <c r="G68" s="34"/>
      <c r="H68" s="34"/>
      <c r="I68" s="34"/>
      <c r="J68" s="147"/>
    </row>
    <row r="69" ht="13.55" customHeight="1">
      <c r="A69" s="9"/>
      <c r="B69" s="112"/>
      <c r="C69" s="35"/>
      <c r="D69" s="35"/>
      <c r="E69" s="34"/>
      <c r="F69" s="35"/>
      <c r="G69" s="34"/>
      <c r="H69" s="34"/>
      <c r="I69" s="34"/>
      <c r="J69" s="147"/>
    </row>
    <row r="70" ht="13.55" customHeight="1">
      <c r="A70" s="9"/>
      <c r="B70" s="112"/>
      <c r="C70" s="35"/>
      <c r="D70" s="35"/>
      <c r="E70" s="34"/>
      <c r="F70" s="35"/>
      <c r="G70" s="34"/>
      <c r="H70" s="34"/>
      <c r="I70" s="34"/>
      <c r="J70" s="147"/>
    </row>
    <row r="71" ht="15.75" customHeight="1">
      <c r="A71" s="9"/>
      <c r="B71" s="112"/>
      <c r="C71" s="35"/>
      <c r="D71" s="35"/>
      <c r="E71" s="35"/>
      <c r="F71" s="35"/>
      <c r="G71" s="34"/>
      <c r="H71" s="150"/>
      <c r="I71" s="76"/>
      <c r="J71" s="151"/>
    </row>
    <row r="72" ht="14.05" customHeight="1">
      <c r="A72" s="9"/>
      <c r="B72" s="177"/>
      <c r="C72" s="22"/>
      <c r="D72" s="22"/>
      <c r="E72" t="s" s="23">
        <v>390</v>
      </c>
      <c r="F72" s="196">
        <v>300</v>
      </c>
      <c r="G72" t="s" s="24">
        <v>391</v>
      </c>
      <c r="H72" t="s" s="153">
        <v>371</v>
      </c>
      <c r="I72" t="s" s="154">
        <v>8</v>
      </c>
      <c r="J72" t="s" s="155">
        <v>372</v>
      </c>
    </row>
    <row r="73" ht="13.55" customHeight="1">
      <c r="A73" s="9"/>
      <c r="B73" s="178"/>
      <c r="C73" s="7"/>
      <c r="D73" s="7"/>
      <c r="E73" t="s" s="185">
        <v>373</v>
      </c>
      <c r="F73" s="186">
        <v>4450</v>
      </c>
      <c r="G73" t="s" s="187">
        <v>392</v>
      </c>
      <c r="H73" t="s" s="25">
        <v>374</v>
      </c>
      <c r="I73" s="157">
        <v>0</v>
      </c>
      <c r="J73" s="158">
        <v>0</v>
      </c>
    </row>
    <row r="74" ht="13.55" customHeight="1">
      <c r="A74" s="9"/>
      <c r="B74" s="178"/>
      <c r="C74" s="7"/>
      <c r="D74" s="7"/>
      <c r="E74" t="s" s="26">
        <v>375</v>
      </c>
      <c r="F74" s="188">
        <v>59600</v>
      </c>
      <c r="G74" t="s" s="156">
        <v>8</v>
      </c>
      <c r="H74" t="s" s="159">
        <v>376</v>
      </c>
      <c r="I74" s="160">
        <v>0</v>
      </c>
      <c r="J74" s="161">
        <v>0</v>
      </c>
    </row>
    <row r="75" ht="13.55" customHeight="1">
      <c r="A75" s="9"/>
      <c r="B75" s="178"/>
      <c r="C75" s="7"/>
      <c r="D75" s="7"/>
      <c r="E75" t="s" s="26">
        <v>377</v>
      </c>
      <c r="F75" s="157">
        <v>8000</v>
      </c>
      <c r="G75" t="s" s="156">
        <v>8</v>
      </c>
      <c r="H75" t="s" s="159">
        <v>378</v>
      </c>
      <c r="I75" s="160">
        <v>0</v>
      </c>
      <c r="J75" t="s" s="162">
        <v>8</v>
      </c>
    </row>
    <row r="76" ht="13.55" customHeight="1">
      <c r="A76" s="9"/>
      <c r="B76" s="178"/>
      <c r="C76" s="7"/>
      <c r="D76" s="7"/>
      <c r="E76" t="s" s="185">
        <v>57</v>
      </c>
      <c r="F76" s="186">
        <v>3200</v>
      </c>
      <c r="G76" t="s" s="187">
        <v>393</v>
      </c>
      <c r="H76" t="s" s="159">
        <v>380</v>
      </c>
      <c r="I76" s="160">
        <v>0</v>
      </c>
      <c r="J76" s="163"/>
    </row>
    <row r="77" ht="13.55" customHeight="1">
      <c r="A77" s="9"/>
      <c r="B77" s="178"/>
      <c r="C77" s="7"/>
      <c r="D77" s="7"/>
      <c r="E77" t="s" s="185">
        <v>381</v>
      </c>
      <c r="F77" t="s" s="191">
        <v>8</v>
      </c>
      <c r="G77" t="s" s="187">
        <v>8</v>
      </c>
      <c r="H77" t="s" s="25">
        <v>8</v>
      </c>
      <c r="I77" s="164"/>
      <c r="J77" s="158"/>
    </row>
    <row r="78" ht="15.75" customHeight="1">
      <c r="A78" s="9"/>
      <c r="B78" s="178"/>
      <c r="C78" s="7"/>
      <c r="D78" s="7"/>
      <c r="E78" t="s" s="26">
        <v>384</v>
      </c>
      <c r="F78" s="188">
        <v>81050</v>
      </c>
      <c r="G78" t="s" s="156">
        <v>394</v>
      </c>
      <c r="H78" t="s" s="165">
        <v>8</v>
      </c>
      <c r="I78" s="166" cm="1">
        <f t="array" ref="I78">I76+I75+I74+I73</f>
        <v>0</v>
      </c>
      <c r="J78" s="167" cm="1">
        <f t="array" ref="J78">J74+J73</f>
        <v>0</v>
      </c>
    </row>
    <row r="79" ht="14.05" customHeight="1">
      <c r="A79" s="9"/>
      <c r="B79" s="178"/>
      <c r="C79" s="7"/>
      <c r="D79" s="7"/>
      <c r="E79" t="s" s="26">
        <v>395</v>
      </c>
      <c r="F79" s="144">
        <v>3309.25</v>
      </c>
      <c r="G79" t="s" s="26">
        <v>8</v>
      </c>
      <c r="H79" t="s" s="168">
        <v>8</v>
      </c>
      <c r="I79" s="78"/>
      <c r="J79" s="169"/>
    </row>
    <row r="80" ht="15.75" customHeight="1">
      <c r="A80" s="9"/>
      <c r="B80" s="179"/>
      <c r="C80" s="8"/>
      <c r="D80" s="8"/>
      <c r="E80" t="s" s="192">
        <v>396</v>
      </c>
      <c r="F80" s="170">
        <v>2100</v>
      </c>
      <c r="G80" t="s" s="192">
        <v>397</v>
      </c>
      <c r="H80" s="170"/>
      <c r="I80" s="8"/>
      <c r="J80" s="17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N63"/>
  <sheetViews>
    <sheetView workbookViewId="0" showGridLines="0" defaultGridColor="1"/>
  </sheetViews>
  <sheetFormatPr defaultColWidth="10.8333" defaultRowHeight="15" customHeight="1" outlineLevelRow="0" outlineLevelCol="0"/>
  <cols>
    <col min="1" max="4" width="10.8516" style="198" customWidth="1"/>
    <col min="5" max="5" width="26" style="198" customWidth="1"/>
    <col min="6" max="6" width="34.3516" style="198" customWidth="1"/>
    <col min="7" max="7" width="12.5" style="198" customWidth="1"/>
    <col min="8" max="8" width="11.8516" style="198" customWidth="1"/>
    <col min="9" max="9" width="12.5" style="198" customWidth="1"/>
    <col min="10" max="10" width="22.6719" style="198" customWidth="1"/>
    <col min="11" max="14" width="10.8516" style="198" customWidth="1"/>
    <col min="15" max="16384" width="10.8516" style="198" customWidth="1"/>
  </cols>
  <sheetData>
    <row r="1" ht="15.75" customHeight="1">
      <c r="A1" s="7"/>
      <c r="B1" s="8"/>
      <c r="C1" s="8"/>
      <c r="D1" s="8"/>
      <c r="E1" s="8"/>
      <c r="F1" s="8"/>
      <c r="G1" s="8"/>
      <c r="H1" s="8"/>
      <c r="I1" s="8"/>
      <c r="J1" s="8"/>
      <c r="K1" s="7"/>
      <c r="L1" s="7"/>
      <c r="M1" s="7"/>
      <c r="N1" s="7"/>
    </row>
    <row r="2" ht="18" customHeight="1">
      <c r="A2" s="9"/>
      <c r="B2" t="s" s="107">
        <v>77</v>
      </c>
      <c r="C2" s="108"/>
      <c r="D2" s="108"/>
      <c r="E2" s="85"/>
      <c r="F2" s="84"/>
      <c r="G2" s="84"/>
      <c r="H2" s="84"/>
      <c r="I2" s="85"/>
      <c r="J2" s="146"/>
      <c r="K2" s="16"/>
      <c r="L2" s="7"/>
      <c r="M2" s="7"/>
      <c r="N2" s="7"/>
    </row>
    <row r="3" ht="18" customHeight="1">
      <c r="A3" s="9"/>
      <c r="B3" t="s" s="86">
        <v>163</v>
      </c>
      <c r="C3" s="87"/>
      <c r="D3" s="87"/>
      <c r="E3" s="88"/>
      <c r="F3" s="88"/>
      <c r="G3" s="88"/>
      <c r="H3" s="113"/>
      <c r="I3" s="88"/>
      <c r="J3" s="147"/>
      <c r="K3" s="16"/>
      <c r="L3" s="7"/>
      <c r="M3" s="7"/>
      <c r="N3" s="7"/>
    </row>
    <row r="4" ht="16.5" customHeight="1">
      <c r="A4" s="9"/>
      <c r="B4" s="110"/>
      <c r="C4" s="89"/>
      <c r="D4" s="89"/>
      <c r="E4" t="s" s="90">
        <v>78</v>
      </c>
      <c r="F4" t="s" s="90">
        <v>52</v>
      </c>
      <c r="G4" s="89"/>
      <c r="H4" t="s" s="90">
        <v>53</v>
      </c>
      <c r="I4" t="s" s="90">
        <v>53</v>
      </c>
      <c r="J4" t="s" s="148">
        <v>53</v>
      </c>
      <c r="K4" s="16"/>
      <c r="L4" s="7"/>
      <c r="M4" s="7"/>
      <c r="N4" s="7"/>
    </row>
    <row r="5" ht="33" customHeight="1">
      <c r="A5" s="9"/>
      <c r="B5" t="s" s="111">
        <v>79</v>
      </c>
      <c r="C5" t="s" s="90">
        <v>54</v>
      </c>
      <c r="D5" t="s" s="90">
        <v>364</v>
      </c>
      <c r="E5" s="114">
        <v>12061001385</v>
      </c>
      <c r="F5" t="s" s="90">
        <v>55</v>
      </c>
      <c r="G5" t="s" s="90">
        <v>8</v>
      </c>
      <c r="H5" t="s" s="90">
        <v>109</v>
      </c>
      <c r="I5" t="s" s="90">
        <v>365</v>
      </c>
      <c r="J5" t="s" s="148">
        <v>366</v>
      </c>
      <c r="K5" s="16"/>
      <c r="L5" s="7"/>
      <c r="M5" s="7"/>
      <c r="N5" s="7"/>
    </row>
    <row r="6" ht="27" customHeight="1">
      <c r="A6" s="9"/>
      <c r="B6" t="s" s="111">
        <v>8</v>
      </c>
      <c r="C6" t="s" s="94">
        <v>58</v>
      </c>
      <c r="D6" s="149"/>
      <c r="E6" t="s" s="95">
        <v>8</v>
      </c>
      <c r="F6" s="89"/>
      <c r="G6" t="s" s="96">
        <v>59</v>
      </c>
      <c r="H6" s="97"/>
      <c r="I6" t="s" s="90">
        <v>8</v>
      </c>
      <c r="J6" s="147">
        <v>951414.13</v>
      </c>
      <c r="K6" s="16"/>
      <c r="L6" s="7"/>
      <c r="M6" s="7"/>
      <c r="N6" s="7"/>
    </row>
    <row r="7" ht="13.55" customHeight="1">
      <c r="A7" s="9"/>
      <c r="B7" s="112">
        <v>45839</v>
      </c>
      <c r="C7" s="98"/>
      <c r="D7" t="s" s="19">
        <v>367</v>
      </c>
      <c r="E7" t="s" s="80">
        <v>60</v>
      </c>
      <c r="F7" t="s" s="80">
        <v>164</v>
      </c>
      <c r="G7" s="34"/>
      <c r="H7" s="34">
        <v>500</v>
      </c>
      <c r="I7" s="35"/>
      <c r="J7" s="147" cm="1">
        <f t="array" ref="J7">J6+G7</f>
        <v>951414.13</v>
      </c>
      <c r="K7" s="16"/>
      <c r="L7" s="7"/>
      <c r="M7" s="7"/>
      <c r="N7" s="7"/>
    </row>
    <row r="8" ht="13.55" customHeight="1">
      <c r="A8" s="9"/>
      <c r="B8" s="112">
        <v>45841</v>
      </c>
      <c r="C8" s="98">
        <v>2224</v>
      </c>
      <c r="D8" t="s" s="19">
        <v>367</v>
      </c>
      <c r="E8" t="s" s="80">
        <v>60</v>
      </c>
      <c r="F8" t="s" s="80">
        <v>165</v>
      </c>
      <c r="G8" s="99">
        <v>500</v>
      </c>
      <c r="H8" s="34"/>
      <c r="I8" s="35"/>
      <c r="J8" s="147" cm="1">
        <f t="array" ref="J8">J7+H8</f>
        <v>951414.13</v>
      </c>
      <c r="K8" s="16"/>
      <c r="L8" s="7"/>
      <c r="M8" s="7"/>
      <c r="N8" s="7"/>
    </row>
    <row r="9" ht="13.55" customHeight="1">
      <c r="A9" s="9"/>
      <c r="B9" s="112">
        <v>45845</v>
      </c>
      <c r="C9" s="117">
        <v>2226</v>
      </c>
      <c r="D9" t="s" s="19">
        <v>367</v>
      </c>
      <c r="E9" t="s" s="80">
        <v>60</v>
      </c>
      <c r="F9" t="s" s="80">
        <v>117</v>
      </c>
      <c r="G9" s="99">
        <v>1000</v>
      </c>
      <c r="H9" s="34"/>
      <c r="I9" s="35"/>
      <c r="J9" s="147" cm="1">
        <f t="array" ref="J9">J8+G9</f>
        <v>952414.13</v>
      </c>
      <c r="K9" s="16"/>
      <c r="L9" s="7"/>
      <c r="M9" s="7"/>
      <c r="N9" s="7"/>
    </row>
    <row r="10" ht="13.55" customHeight="1">
      <c r="A10" s="9"/>
      <c r="B10" s="112">
        <v>45846</v>
      </c>
      <c r="C10" s="98"/>
      <c r="D10" t="s" s="19">
        <v>367</v>
      </c>
      <c r="E10" t="s" s="80">
        <v>60</v>
      </c>
      <c r="F10" t="s" s="80">
        <v>166</v>
      </c>
      <c r="G10" s="34"/>
      <c r="H10" s="34">
        <v>2000</v>
      </c>
      <c r="I10" s="35"/>
      <c r="J10" s="147" cm="1">
        <f t="array" ref="J10">J9+H10</f>
        <v>954414.13</v>
      </c>
      <c r="K10" s="16"/>
      <c r="L10" s="7"/>
      <c r="M10" s="7"/>
      <c r="N10" s="7"/>
    </row>
    <row r="11" ht="13.55" customHeight="1">
      <c r="A11" s="9"/>
      <c r="B11" s="112">
        <v>45846</v>
      </c>
      <c r="C11" s="98"/>
      <c r="D11" t="s" s="19">
        <v>367</v>
      </c>
      <c r="E11" t="s" s="80">
        <v>60</v>
      </c>
      <c r="F11" t="s" s="80">
        <v>164</v>
      </c>
      <c r="G11" s="34"/>
      <c r="H11" s="34">
        <v>250</v>
      </c>
      <c r="I11" s="35"/>
      <c r="J11" s="147" cm="1">
        <f t="array" ref="J11">J10+H11</f>
        <v>954664.13</v>
      </c>
      <c r="K11" s="16"/>
      <c r="L11" s="7"/>
      <c r="M11" s="7"/>
      <c r="N11" s="7"/>
    </row>
    <row r="12" ht="13.55" customHeight="1">
      <c r="A12" s="9"/>
      <c r="B12" s="112">
        <v>45853</v>
      </c>
      <c r="C12" s="98"/>
      <c r="D12" t="s" s="19">
        <v>367</v>
      </c>
      <c r="E12" t="s" s="80">
        <v>99</v>
      </c>
      <c r="F12" t="s" s="80">
        <v>167</v>
      </c>
      <c r="G12" s="34">
        <v>50700</v>
      </c>
      <c r="H12" s="34"/>
      <c r="I12" s="35"/>
      <c r="J12" s="147" cm="1">
        <f t="array" ref="J12">J11+H12</f>
        <v>954664.13</v>
      </c>
      <c r="K12" s="16"/>
      <c r="L12" s="7"/>
      <c r="M12" s="7"/>
      <c r="N12" s="7"/>
    </row>
    <row r="13" ht="13.55" customHeight="1">
      <c r="A13" s="9"/>
      <c r="B13" s="112">
        <v>45853</v>
      </c>
      <c r="C13" s="100"/>
      <c r="D13" t="s" s="19">
        <v>367</v>
      </c>
      <c r="E13" t="s" s="80">
        <v>99</v>
      </c>
      <c r="F13" t="s" s="80">
        <v>62</v>
      </c>
      <c r="G13" s="99">
        <v>7700</v>
      </c>
      <c r="H13" s="34"/>
      <c r="I13" s="35"/>
      <c r="J13" s="147" cm="1">
        <f t="array" ref="J13">J12+H13</f>
        <v>954664.13</v>
      </c>
      <c r="K13" s="16"/>
      <c r="L13" s="7"/>
      <c r="M13" s="7"/>
      <c r="N13" s="7"/>
    </row>
    <row r="14" ht="13.55" customHeight="1">
      <c r="A14" s="9"/>
      <c r="B14" s="112">
        <v>45853</v>
      </c>
      <c r="C14" s="98"/>
      <c r="D14" t="s" s="19">
        <v>367</v>
      </c>
      <c r="E14" t="s" s="80">
        <v>99</v>
      </c>
      <c r="F14" t="s" s="80">
        <v>100</v>
      </c>
      <c r="G14" s="99">
        <v>20550</v>
      </c>
      <c r="H14" s="34"/>
      <c r="I14" s="35"/>
      <c r="J14" s="147" cm="1">
        <f t="array" ref="J14">J13+G14</f>
        <v>975214.13</v>
      </c>
      <c r="K14" s="16"/>
      <c r="L14" s="7"/>
      <c r="M14" s="7"/>
      <c r="N14" s="7"/>
    </row>
    <row r="15" ht="13.55" customHeight="1">
      <c r="A15" s="9"/>
      <c r="B15" s="112">
        <v>45853</v>
      </c>
      <c r="C15" s="18"/>
      <c r="D15" t="s" s="19">
        <v>367</v>
      </c>
      <c r="E15" t="s" s="80">
        <v>99</v>
      </c>
      <c r="F15" t="s" s="80">
        <v>168</v>
      </c>
      <c r="G15" s="99">
        <v>92800</v>
      </c>
      <c r="H15" s="34"/>
      <c r="I15" s="35"/>
      <c r="J15" s="147" cm="1">
        <f t="array" ref="J15">J14+G15</f>
        <v>1068014.13</v>
      </c>
      <c r="K15" s="16"/>
      <c r="L15" s="7"/>
      <c r="M15" s="7"/>
      <c r="N15" s="7"/>
    </row>
    <row r="16" ht="13.55" customHeight="1">
      <c r="A16" s="9"/>
      <c r="B16" s="112">
        <v>45853</v>
      </c>
      <c r="C16" s="18"/>
      <c r="D16" t="s" s="19">
        <v>367</v>
      </c>
      <c r="E16" t="s" s="80">
        <v>60</v>
      </c>
      <c r="F16" t="s" s="80">
        <v>169</v>
      </c>
      <c r="G16" s="99"/>
      <c r="H16" s="34">
        <v>1500</v>
      </c>
      <c r="I16" s="35"/>
      <c r="J16" s="147" cm="1">
        <f t="array" ref="J16">J15+G16</f>
        <v>1068014.13</v>
      </c>
      <c r="K16" s="16"/>
      <c r="L16" s="7"/>
      <c r="M16" s="7"/>
      <c r="N16" s="7"/>
    </row>
    <row r="17" ht="13.55" customHeight="1">
      <c r="A17" s="9"/>
      <c r="B17" s="112">
        <v>45853</v>
      </c>
      <c r="C17" s="98"/>
      <c r="D17" t="s" s="19">
        <v>367</v>
      </c>
      <c r="E17" t="s" s="80">
        <v>60</v>
      </c>
      <c r="F17" t="s" s="80">
        <v>112</v>
      </c>
      <c r="G17" s="34"/>
      <c r="H17" s="34">
        <v>500</v>
      </c>
      <c r="I17" s="35"/>
      <c r="J17" s="147" cm="1">
        <f t="array" ref="J17">J16+G17</f>
        <v>1068014.13</v>
      </c>
      <c r="K17" s="16"/>
      <c r="L17" s="7"/>
      <c r="M17" s="7"/>
      <c r="N17" s="7"/>
    </row>
    <row r="18" ht="13.55" customHeight="1">
      <c r="A18" s="9"/>
      <c r="B18" s="112">
        <v>45855</v>
      </c>
      <c r="C18" s="98"/>
      <c r="D18" t="s" s="19">
        <v>367</v>
      </c>
      <c r="E18" t="s" s="80">
        <v>99</v>
      </c>
      <c r="F18" t="s" s="80">
        <v>167</v>
      </c>
      <c r="G18" s="115">
        <v>1200</v>
      </c>
      <c r="H18" s="34"/>
      <c r="I18" s="35"/>
      <c r="J18" s="147" cm="1">
        <f t="array" ref="J18">J17+G18</f>
        <v>1069214.13</v>
      </c>
      <c r="K18" s="16"/>
      <c r="L18" s="7"/>
      <c r="M18" s="7"/>
      <c r="N18" s="7"/>
    </row>
    <row r="19" ht="13.55" customHeight="1">
      <c r="A19" s="9"/>
      <c r="B19" s="112">
        <v>45855</v>
      </c>
      <c r="C19" s="98">
        <v>2335</v>
      </c>
      <c r="D19" t="s" s="19">
        <v>367</v>
      </c>
      <c r="E19" t="s" s="80">
        <v>60</v>
      </c>
      <c r="F19" t="s" s="80">
        <v>140</v>
      </c>
      <c r="G19" s="115">
        <v>500</v>
      </c>
      <c r="H19" s="34"/>
      <c r="I19" s="35"/>
      <c r="J19" s="147" cm="1">
        <f t="array" ref="J19">J18+G19</f>
        <v>1069714.13</v>
      </c>
      <c r="K19" s="16"/>
      <c r="L19" s="7"/>
      <c r="M19" s="7"/>
      <c r="N19" s="7"/>
    </row>
    <row r="20" ht="13.55" customHeight="1">
      <c r="A20" s="9"/>
      <c r="B20" s="112">
        <v>45856</v>
      </c>
      <c r="C20" s="98">
        <v>2334</v>
      </c>
      <c r="D20" t="s" s="19">
        <v>367</v>
      </c>
      <c r="E20" t="s" s="80">
        <v>60</v>
      </c>
      <c r="F20" t="s" s="80">
        <v>154</v>
      </c>
      <c r="G20" s="115">
        <v>500</v>
      </c>
      <c r="H20" s="34"/>
      <c r="I20" s="35"/>
      <c r="J20" s="147" cm="1">
        <f t="array" ref="J20">J19+G20</f>
        <v>1070214.13</v>
      </c>
      <c r="K20" s="16"/>
      <c r="L20" s="7"/>
      <c r="M20" s="7"/>
      <c r="N20" s="7"/>
    </row>
    <row r="21" ht="13.55" customHeight="1">
      <c r="A21" s="9"/>
      <c r="B21" s="112">
        <v>45856</v>
      </c>
      <c r="C21" s="98">
        <v>2333</v>
      </c>
      <c r="D21" t="s" s="19">
        <v>367</v>
      </c>
      <c r="E21" t="s" s="80">
        <v>60</v>
      </c>
      <c r="F21" t="s" s="80">
        <v>143</v>
      </c>
      <c r="G21" s="34">
        <v>1500</v>
      </c>
      <c r="H21" s="34"/>
      <c r="I21" s="35"/>
      <c r="J21" s="147" cm="1">
        <f t="array" ref="J21">J20+H21</f>
        <v>1070214.13</v>
      </c>
      <c r="K21" s="16"/>
      <c r="L21" s="7"/>
      <c r="M21" s="7"/>
      <c r="N21" s="7"/>
    </row>
    <row r="22" ht="13.55" customHeight="1">
      <c r="A22" s="9"/>
      <c r="B22" s="112">
        <v>45856</v>
      </c>
      <c r="C22" s="98">
        <v>2332</v>
      </c>
      <c r="D22" t="s" s="19">
        <v>367</v>
      </c>
      <c r="E22" t="s" s="80">
        <v>60</v>
      </c>
      <c r="F22" t="s" s="80">
        <v>104</v>
      </c>
      <c r="G22" s="34">
        <v>1500</v>
      </c>
      <c r="H22" s="34"/>
      <c r="I22" s="35"/>
      <c r="J22" s="147" cm="1">
        <f t="array" ref="J22">J21+G22</f>
        <v>1071714.13</v>
      </c>
      <c r="K22" s="16"/>
      <c r="L22" s="7"/>
      <c r="M22" s="7"/>
      <c r="N22" s="7"/>
    </row>
    <row r="23" ht="13.55" customHeight="1">
      <c r="A23" s="9"/>
      <c r="B23" s="112"/>
      <c r="C23" s="98"/>
      <c r="D23" s="98"/>
      <c r="E23" s="35"/>
      <c r="F23" s="35"/>
      <c r="G23" s="34"/>
      <c r="H23" s="34"/>
      <c r="I23" s="35"/>
      <c r="J23" s="147" cm="1">
        <f t="array" ref="J23">J22+G23</f>
        <v>1071714.13</v>
      </c>
      <c r="K23" s="16"/>
      <c r="L23" s="7"/>
      <c r="M23" s="7"/>
      <c r="N23" s="7"/>
    </row>
    <row r="24" ht="13.55" customHeight="1">
      <c r="A24" s="9"/>
      <c r="B24" s="112"/>
      <c r="C24" s="98"/>
      <c r="D24" s="98"/>
      <c r="E24" s="35"/>
      <c r="F24" s="35"/>
      <c r="G24" s="34"/>
      <c r="H24" s="34"/>
      <c r="I24" s="35"/>
      <c r="J24" s="147" cm="1">
        <f t="array" ref="J24">J23+G24</f>
        <v>1071714.13</v>
      </c>
      <c r="K24" s="16"/>
      <c r="L24" s="7"/>
      <c r="M24" s="7"/>
      <c r="N24" s="7"/>
    </row>
    <row r="25" ht="13.55" customHeight="1">
      <c r="A25" s="9"/>
      <c r="B25" s="112"/>
      <c r="C25" s="98"/>
      <c r="D25" s="98"/>
      <c r="E25" s="35"/>
      <c r="F25" s="35"/>
      <c r="G25" s="34"/>
      <c r="H25" s="34"/>
      <c r="I25" s="35"/>
      <c r="J25" s="147" cm="1">
        <f t="array" ref="J25">J24+G25</f>
        <v>1071714.13</v>
      </c>
      <c r="K25" s="16"/>
      <c r="L25" s="7"/>
      <c r="M25" s="7"/>
      <c r="N25" s="7"/>
    </row>
    <row r="26" ht="13.55" customHeight="1">
      <c r="A26" s="9"/>
      <c r="B26" s="112">
        <v>45856</v>
      </c>
      <c r="C26" s="98"/>
      <c r="D26" t="s" s="19">
        <v>367</v>
      </c>
      <c r="E26" t="s" s="80">
        <v>60</v>
      </c>
      <c r="F26" s="35"/>
      <c r="G26" s="34" cm="1">
        <f t="array" ref="G26">SUM(G7:G25)</f>
        <v>178450</v>
      </c>
      <c r="H26" s="34"/>
      <c r="I26" s="35"/>
      <c r="J26" s="147" cm="1">
        <f t="array" ref="J26">J25+G26</f>
        <v>1250164.13</v>
      </c>
      <c r="K26" s="16"/>
      <c r="L26" s="7"/>
      <c r="M26" s="7"/>
      <c r="N26" s="7"/>
    </row>
    <row r="27" ht="13.55" customHeight="1">
      <c r="A27" s="9"/>
      <c r="B27" s="112">
        <v>45856</v>
      </c>
      <c r="C27" s="98"/>
      <c r="D27" t="s" s="19">
        <v>367</v>
      </c>
      <c r="E27" t="s" s="80">
        <v>60</v>
      </c>
      <c r="F27" s="35"/>
      <c r="G27" s="34"/>
      <c r="H27" s="34" cm="1">
        <f t="array" ref="H27">SUM(H7:H26)</f>
        <v>4750</v>
      </c>
      <c r="I27" s="35"/>
      <c r="J27" s="147" cm="1">
        <f t="array" ref="J27">J26+G27</f>
        <v>1250164.13</v>
      </c>
      <c r="K27" s="16"/>
      <c r="L27" s="7"/>
      <c r="M27" s="7"/>
      <c r="N27" s="7"/>
    </row>
    <row r="28" ht="13.55" customHeight="1">
      <c r="A28" s="9"/>
      <c r="B28" s="112"/>
      <c r="C28" s="98"/>
      <c r="D28" s="98"/>
      <c r="E28" s="35"/>
      <c r="F28" s="35"/>
      <c r="G28" s="34"/>
      <c r="H28" s="34"/>
      <c r="I28" s="35"/>
      <c r="J28" s="147" cm="1">
        <f t="array" ref="J28">J27+G28</f>
        <v>1250164.13</v>
      </c>
      <c r="K28" s="16"/>
      <c r="L28" s="7"/>
      <c r="M28" s="7"/>
      <c r="N28" s="7"/>
    </row>
    <row r="29" ht="13.55" customHeight="1">
      <c r="A29" s="9"/>
      <c r="B29" s="112"/>
      <c r="C29" s="98"/>
      <c r="D29" s="98"/>
      <c r="E29" s="35"/>
      <c r="F29" s="35"/>
      <c r="G29" s="34"/>
      <c r="H29" s="34"/>
      <c r="I29" s="35"/>
      <c r="J29" s="147" cm="1">
        <f t="array" ref="J29">J28+G29</f>
        <v>1250164.13</v>
      </c>
      <c r="K29" s="16"/>
      <c r="L29" s="7"/>
      <c r="M29" s="7"/>
      <c r="N29" s="7"/>
    </row>
    <row r="30" ht="13.55" customHeight="1">
      <c r="A30" s="9"/>
      <c r="B30" s="112"/>
      <c r="C30" s="98"/>
      <c r="D30" s="98"/>
      <c r="E30" s="35"/>
      <c r="F30" s="35"/>
      <c r="G30" s="34"/>
      <c r="H30" s="34"/>
      <c r="I30" s="35"/>
      <c r="J30" s="147" cm="1">
        <f t="array" ref="J30">J29+G30</f>
        <v>1250164.13</v>
      </c>
      <c r="K30" s="16"/>
      <c r="L30" s="7"/>
      <c r="M30" s="7"/>
      <c r="N30" s="7"/>
    </row>
    <row r="31" ht="13.55" customHeight="1">
      <c r="A31" s="7"/>
      <c r="B31" s="118"/>
      <c r="C31" s="98"/>
      <c r="D31" s="98"/>
      <c r="E31" s="35"/>
      <c r="F31" s="35"/>
      <c r="G31" s="34"/>
      <c r="H31" s="34"/>
      <c r="I31" s="35"/>
      <c r="J31" s="147"/>
      <c r="K31" s="16"/>
      <c r="L31" s="7"/>
      <c r="M31" s="7"/>
      <c r="N31" s="7"/>
    </row>
    <row r="32" ht="13.55" customHeight="1">
      <c r="A32" s="7"/>
      <c r="B32" s="118"/>
      <c r="C32" s="98"/>
      <c r="D32" s="98"/>
      <c r="E32" s="35"/>
      <c r="F32" s="35"/>
      <c r="G32" s="34"/>
      <c r="H32" s="34"/>
      <c r="I32" s="35"/>
      <c r="J32" s="147"/>
      <c r="K32" s="16"/>
      <c r="L32" s="7"/>
      <c r="M32" s="7"/>
      <c r="N32" s="7"/>
    </row>
    <row r="33" ht="13.55" customHeight="1">
      <c r="A33" s="79"/>
      <c r="B33" s="101"/>
      <c r="C33" s="98"/>
      <c r="D33" s="98"/>
      <c r="E33" s="35"/>
      <c r="F33" s="101"/>
      <c r="G33" s="34"/>
      <c r="H33" s="34"/>
      <c r="I33" s="34"/>
      <c r="J33" s="147"/>
      <c r="K33" s="16"/>
      <c r="L33" s="7"/>
      <c r="M33" s="7"/>
      <c r="N33" s="7"/>
    </row>
    <row r="34" ht="13.55" customHeight="1">
      <c r="A34" s="79"/>
      <c r="B34" s="101">
        <v>45849</v>
      </c>
      <c r="C34" s="101"/>
      <c r="D34" t="s" s="19">
        <v>368</v>
      </c>
      <c r="E34" t="s" s="80">
        <v>287</v>
      </c>
      <c r="F34" t="s" s="80">
        <v>204</v>
      </c>
      <c r="G34" s="34"/>
      <c r="H34" s="34"/>
      <c r="I34" s="34">
        <v>100000</v>
      </c>
      <c r="J34" s="147" cm="1">
        <f t="array" ref="J34">J29-I34</f>
        <v>1150164.13</v>
      </c>
      <c r="K34" s="16"/>
      <c r="L34" s="7"/>
      <c r="M34" s="7"/>
      <c r="N34" s="7"/>
    </row>
    <row r="35" ht="13.55" customHeight="1">
      <c r="A35" s="79"/>
      <c r="B35" s="101">
        <v>45852</v>
      </c>
      <c r="C35" s="101"/>
      <c r="D35" t="s" s="19">
        <v>368</v>
      </c>
      <c r="E35" t="s" s="80">
        <v>197</v>
      </c>
      <c r="F35" t="s" s="80">
        <v>283</v>
      </c>
      <c r="G35" s="34"/>
      <c r="H35" s="34"/>
      <c r="I35" s="34">
        <v>13068.7</v>
      </c>
      <c r="J35" s="147" cm="1">
        <f t="array" ref="J35">J34-I35</f>
        <v>1137095.43</v>
      </c>
      <c r="K35" s="16"/>
      <c r="L35" s="7"/>
      <c r="M35" s="7"/>
      <c r="N35" t="s" s="26">
        <v>8</v>
      </c>
    </row>
    <row r="36" ht="13.55" customHeight="1">
      <c r="A36" s="79"/>
      <c r="B36" s="101">
        <v>45852</v>
      </c>
      <c r="C36" s="101"/>
      <c r="D36" t="s" s="19">
        <v>368</v>
      </c>
      <c r="E36" t="s" s="80">
        <v>99</v>
      </c>
      <c r="F36" t="s" s="80">
        <v>288</v>
      </c>
      <c r="G36" s="34"/>
      <c r="H36" s="34"/>
      <c r="I36" s="34">
        <v>11.6</v>
      </c>
      <c r="J36" s="147" cm="1">
        <f t="array" ref="J36">J35-I36</f>
        <v>1137083.83</v>
      </c>
      <c r="K36" s="16"/>
      <c r="L36" s="7"/>
      <c r="M36" s="7"/>
      <c r="N36" s="7"/>
    </row>
    <row r="37" ht="13.55" customHeight="1">
      <c r="A37" s="79"/>
      <c r="B37" s="101">
        <v>45853</v>
      </c>
      <c r="C37" s="101"/>
      <c r="D37" t="s" s="19">
        <v>368</v>
      </c>
      <c r="E37" t="s" s="80">
        <v>99</v>
      </c>
      <c r="F37" t="s" s="80">
        <v>282</v>
      </c>
      <c r="G37" s="34"/>
      <c r="H37" s="34"/>
      <c r="I37" s="34">
        <v>1014</v>
      </c>
      <c r="J37" s="147" cm="1">
        <f t="array" ref="J37">J36-I37</f>
        <v>1136069.83</v>
      </c>
      <c r="K37" s="16"/>
      <c r="L37" s="7"/>
      <c r="M37" s="7"/>
      <c r="N37" s="7"/>
    </row>
    <row r="38" ht="13.55" customHeight="1">
      <c r="A38" s="79"/>
      <c r="B38" s="101">
        <v>45853</v>
      </c>
      <c r="C38" s="101"/>
      <c r="D38" t="s" s="19">
        <v>368</v>
      </c>
      <c r="E38" t="s" s="80">
        <v>99</v>
      </c>
      <c r="F38" t="s" s="80">
        <v>274</v>
      </c>
      <c r="G38" s="34"/>
      <c r="H38" s="34"/>
      <c r="I38" s="34">
        <v>162.24</v>
      </c>
      <c r="J38" s="147" cm="1">
        <f t="array" ref="J38">J37-I38</f>
        <v>1135907.59</v>
      </c>
      <c r="K38" s="16"/>
      <c r="L38" s="7"/>
      <c r="M38" s="7"/>
      <c r="N38" s="7"/>
    </row>
    <row r="39" ht="13.55" customHeight="1">
      <c r="A39" s="79"/>
      <c r="B39" s="101">
        <v>45853</v>
      </c>
      <c r="C39" s="101"/>
      <c r="D39" t="s" s="19">
        <v>368</v>
      </c>
      <c r="E39" t="s" s="80">
        <v>99</v>
      </c>
      <c r="F39" t="s" s="80">
        <v>275</v>
      </c>
      <c r="G39" s="34"/>
      <c r="H39" s="34"/>
      <c r="I39" s="34">
        <v>146.3</v>
      </c>
      <c r="J39" s="147" cm="1">
        <f t="array" ref="J39">J38-I39</f>
        <v>1135761.29</v>
      </c>
      <c r="K39" s="16"/>
      <c r="L39" s="7"/>
      <c r="M39" s="7"/>
      <c r="N39" s="7"/>
    </row>
    <row r="40" ht="13.55" customHeight="1">
      <c r="A40" s="9"/>
      <c r="B40" s="112">
        <v>45853</v>
      </c>
      <c r="C40" s="101"/>
      <c r="D40" t="s" s="19">
        <v>368</v>
      </c>
      <c r="E40" t="s" s="80">
        <v>99</v>
      </c>
      <c r="F40" t="s" s="80">
        <v>276</v>
      </c>
      <c r="G40" s="34"/>
      <c r="H40" s="34"/>
      <c r="I40" s="34">
        <v>23.4</v>
      </c>
      <c r="J40" s="147" cm="1">
        <f t="array" ref="J40">J39-I40</f>
        <v>1135737.89</v>
      </c>
      <c r="K40" s="16"/>
      <c r="L40" s="7"/>
      <c r="M40" s="7"/>
      <c r="N40" s="7"/>
    </row>
    <row r="41" ht="13.55" customHeight="1">
      <c r="A41" s="9"/>
      <c r="B41" s="112">
        <v>45853</v>
      </c>
      <c r="C41" s="101"/>
      <c r="D41" t="s" s="19">
        <v>368</v>
      </c>
      <c r="E41" t="s" s="80">
        <v>99</v>
      </c>
      <c r="F41" t="s" s="80">
        <v>289</v>
      </c>
      <c r="G41" s="34"/>
      <c r="H41" s="34"/>
      <c r="I41" s="34">
        <v>606.23</v>
      </c>
      <c r="J41" s="147" cm="1">
        <f t="array" ref="J41">J40-I41</f>
        <v>1135131.66</v>
      </c>
      <c r="K41" s="16"/>
      <c r="L41" s="7"/>
      <c r="M41" s="7"/>
      <c r="N41" s="7"/>
    </row>
    <row r="42" ht="13.55" customHeight="1">
      <c r="A42" s="9"/>
      <c r="B42" s="112">
        <v>45853</v>
      </c>
      <c r="C42" s="101"/>
      <c r="D42" t="s" s="19">
        <v>368</v>
      </c>
      <c r="E42" t="s" s="80">
        <v>99</v>
      </c>
      <c r="F42" t="s" s="80">
        <v>290</v>
      </c>
      <c r="G42" s="34"/>
      <c r="H42" s="34"/>
      <c r="I42" s="34">
        <v>97</v>
      </c>
      <c r="J42" s="147" cm="1">
        <f t="array" ref="J42">J41-I42</f>
        <v>1135034.66</v>
      </c>
      <c r="K42" s="16"/>
      <c r="L42" s="7"/>
      <c r="M42" s="7"/>
      <c r="N42" s="7"/>
    </row>
    <row r="43" ht="13.55" customHeight="1">
      <c r="A43" s="9"/>
      <c r="B43" s="112">
        <v>45853</v>
      </c>
      <c r="C43" s="101"/>
      <c r="D43" t="s" s="19">
        <v>368</v>
      </c>
      <c r="E43" t="s" s="80">
        <v>291</v>
      </c>
      <c r="F43" t="s" s="80">
        <v>292</v>
      </c>
      <c r="G43" s="34"/>
      <c r="H43" s="34"/>
      <c r="I43" s="34">
        <v>92800</v>
      </c>
      <c r="J43" s="147" cm="1">
        <f t="array" ref="J43">J42-I43</f>
        <v>1042234.66</v>
      </c>
      <c r="K43" s="16"/>
      <c r="L43" s="7"/>
      <c r="M43" s="7"/>
      <c r="N43" s="7"/>
    </row>
    <row r="44" ht="13.55" customHeight="1">
      <c r="A44" s="9"/>
      <c r="B44" s="112">
        <v>45854</v>
      </c>
      <c r="C44" s="101"/>
      <c r="D44" t="s" s="19">
        <v>368</v>
      </c>
      <c r="E44" t="s" s="80">
        <v>197</v>
      </c>
      <c r="F44" t="s" s="80">
        <v>283</v>
      </c>
      <c r="G44" s="34"/>
      <c r="H44" s="34"/>
      <c r="I44" s="34">
        <v>432.49</v>
      </c>
      <c r="J44" s="147" cm="1">
        <f t="array" ref="J44">J43-I44</f>
        <v>1041802.17</v>
      </c>
      <c r="K44" s="16"/>
      <c r="L44" s="7"/>
      <c r="M44" s="7"/>
      <c r="N44" s="7"/>
    </row>
    <row r="45" ht="13.55" customHeight="1">
      <c r="A45" s="9"/>
      <c r="B45" s="112">
        <v>45854</v>
      </c>
      <c r="C45" s="101"/>
      <c r="D45" t="s" s="19">
        <v>368</v>
      </c>
      <c r="E45" t="s" s="80">
        <v>99</v>
      </c>
      <c r="F45" t="s" s="80">
        <v>288</v>
      </c>
      <c r="G45" s="34"/>
      <c r="H45" s="34"/>
      <c r="I45" s="34">
        <v>11.6</v>
      </c>
      <c r="J45" s="147" cm="1">
        <f t="array" ref="J45">J44-I45</f>
        <v>1041790.57</v>
      </c>
      <c r="K45" s="16"/>
      <c r="L45" s="7"/>
      <c r="M45" s="7"/>
      <c r="N45" s="7"/>
    </row>
    <row r="46" ht="13.55" customHeight="1">
      <c r="A46" s="9"/>
      <c r="B46" s="112">
        <v>45855</v>
      </c>
      <c r="C46" s="101"/>
      <c r="D46" t="s" s="19">
        <v>368</v>
      </c>
      <c r="E46" t="s" s="80">
        <v>99</v>
      </c>
      <c r="F46" t="s" s="80">
        <v>293</v>
      </c>
      <c r="G46" s="34"/>
      <c r="H46" s="34"/>
      <c r="I46" s="34">
        <v>27.84</v>
      </c>
      <c r="J46" s="147" cm="1">
        <f t="array" ref="J46">J45-I46</f>
        <v>1041762.73</v>
      </c>
      <c r="K46" s="16"/>
      <c r="L46" s="7"/>
      <c r="M46" s="7"/>
      <c r="N46" s="7"/>
    </row>
    <row r="47" ht="13.55" customHeight="1">
      <c r="A47" s="9"/>
      <c r="B47" s="112">
        <v>45855</v>
      </c>
      <c r="C47" s="101"/>
      <c r="D47" t="s" s="19">
        <v>368</v>
      </c>
      <c r="E47" t="s" s="80">
        <v>99</v>
      </c>
      <c r="F47" t="s" s="80">
        <v>294</v>
      </c>
      <c r="G47" s="34"/>
      <c r="H47" s="34"/>
      <c r="I47" s="34">
        <v>0.01</v>
      </c>
      <c r="J47" s="147" cm="1">
        <f t="array" ref="J47">J46-I47</f>
        <v>1041762.72</v>
      </c>
      <c r="K47" s="16"/>
      <c r="L47" s="7"/>
      <c r="M47" s="7"/>
      <c r="N47" s="7"/>
    </row>
    <row r="48" ht="13.55" customHeight="1">
      <c r="A48" s="9"/>
      <c r="B48" s="112">
        <v>45856</v>
      </c>
      <c r="C48" s="101"/>
      <c r="D48" t="s" s="19">
        <v>368</v>
      </c>
      <c r="E48" t="s" s="80">
        <v>291</v>
      </c>
      <c r="F48" t="s" s="80">
        <v>295</v>
      </c>
      <c r="G48" s="34"/>
      <c r="H48" s="34"/>
      <c r="I48" s="34">
        <v>92800</v>
      </c>
      <c r="J48" s="147" cm="1">
        <f t="array" ref="J48">J47-I48</f>
        <v>948962.72</v>
      </c>
      <c r="K48" s="16"/>
      <c r="L48" s="7"/>
      <c r="M48" s="7"/>
      <c r="N48" s="7"/>
    </row>
    <row r="49" ht="13.55" customHeight="1">
      <c r="A49" s="9"/>
      <c r="B49" s="112">
        <v>45859</v>
      </c>
      <c r="C49" s="101"/>
      <c r="D49" t="s" s="19">
        <v>368</v>
      </c>
      <c r="E49" t="s" s="80">
        <v>291</v>
      </c>
      <c r="F49" t="s" s="80">
        <v>296</v>
      </c>
      <c r="G49" s="34"/>
      <c r="H49" s="34"/>
      <c r="I49" s="34">
        <v>31842</v>
      </c>
      <c r="J49" s="147" cm="1">
        <f t="array" ref="J49">J48-I49</f>
        <v>917120.72</v>
      </c>
      <c r="K49" s="16"/>
      <c r="L49" s="7"/>
      <c r="M49" s="7"/>
      <c r="N49" s="7"/>
    </row>
    <row r="50" ht="13.55" customHeight="1">
      <c r="A50" s="9"/>
      <c r="B50" s="112">
        <v>45869</v>
      </c>
      <c r="C50" s="101"/>
      <c r="D50" t="s" s="19">
        <v>368</v>
      </c>
      <c r="E50" t="s" s="80">
        <v>297</v>
      </c>
      <c r="F50" t="s" s="80">
        <v>283</v>
      </c>
      <c r="G50" s="34"/>
      <c r="H50" s="34"/>
      <c r="I50" s="34">
        <v>13473.13</v>
      </c>
      <c r="J50" s="147" cm="1">
        <f t="array" ref="J50">J49-I50</f>
        <v>903647.59</v>
      </c>
      <c r="K50" s="16"/>
      <c r="L50" s="7"/>
      <c r="M50" s="7"/>
      <c r="N50" s="7"/>
    </row>
    <row r="51" ht="13.55" customHeight="1">
      <c r="A51" s="9"/>
      <c r="B51" s="112">
        <v>45869</v>
      </c>
      <c r="C51" s="101"/>
      <c r="D51" t="s" s="19">
        <v>368</v>
      </c>
      <c r="E51" t="s" s="80">
        <v>99</v>
      </c>
      <c r="F51" t="s" s="80">
        <v>288</v>
      </c>
      <c r="G51" s="34"/>
      <c r="H51" s="34"/>
      <c r="I51" s="34">
        <v>11.6</v>
      </c>
      <c r="J51" s="147" cm="1">
        <f t="array" ref="J51">J50-I51</f>
        <v>903635.99</v>
      </c>
      <c r="K51" s="16"/>
      <c r="L51" s="7"/>
      <c r="M51" s="7"/>
      <c r="N51" s="7"/>
    </row>
    <row r="52" ht="13.55" customHeight="1">
      <c r="A52" s="9"/>
      <c r="B52" s="112"/>
      <c r="C52" s="101"/>
      <c r="D52" s="101"/>
      <c r="E52" s="35"/>
      <c r="F52" s="35"/>
      <c r="G52" s="34"/>
      <c r="H52" s="34"/>
      <c r="I52" s="34"/>
      <c r="J52" s="147" cm="1">
        <f t="array" ref="J52">J51-I52</f>
        <v>903635.99</v>
      </c>
      <c r="K52" s="16"/>
      <c r="L52" s="7"/>
      <c r="M52" s="7"/>
      <c r="N52" s="7"/>
    </row>
    <row r="53" ht="13.55" customHeight="1">
      <c r="A53" s="9"/>
      <c r="B53" s="112"/>
      <c r="C53" s="35"/>
      <c r="D53" s="35"/>
      <c r="E53" s="34"/>
      <c r="F53" s="35"/>
      <c r="G53" s="34"/>
      <c r="H53" s="34"/>
      <c r="I53" s="34"/>
      <c r="J53" s="147"/>
      <c r="K53" s="16"/>
      <c r="L53" s="7"/>
      <c r="M53" s="7"/>
      <c r="N53" s="7"/>
    </row>
    <row r="54" ht="15.75" customHeight="1">
      <c r="A54" s="9"/>
      <c r="B54" s="112"/>
      <c r="C54" s="35"/>
      <c r="D54" s="35"/>
      <c r="E54" s="34"/>
      <c r="F54" s="35"/>
      <c r="G54" s="34" cm="1">
        <f t="array" ref="G54">SUM(G7:G53)</f>
        <v>356900</v>
      </c>
      <c r="H54" s="150" cm="1">
        <f t="array" ref="H54">SUM(H7:H53)</f>
        <v>9500</v>
      </c>
      <c r="I54" s="150" cm="1">
        <f t="array" ref="I54">SUM(I34:I53)</f>
        <v>346528.14</v>
      </c>
      <c r="J54" s="151"/>
      <c r="K54" s="16"/>
      <c r="L54" s="7"/>
      <c r="M54" s="7"/>
      <c r="N54" s="7"/>
    </row>
    <row r="55" ht="14.05" customHeight="1">
      <c r="A55" s="9"/>
      <c r="B55" s="177"/>
      <c r="C55" s="22"/>
      <c r="D55" s="22"/>
      <c r="E55" t="s" s="23">
        <v>8</v>
      </c>
      <c r="F55" s="196">
        <v>0</v>
      </c>
      <c r="G55" t="s" s="24">
        <v>8</v>
      </c>
      <c r="H55" t="s" s="153">
        <v>371</v>
      </c>
      <c r="I55" t="s" s="154">
        <v>8</v>
      </c>
      <c r="J55" t="s" s="155">
        <v>372</v>
      </c>
      <c r="K55" s="16"/>
      <c r="L55" s="7"/>
      <c r="M55" s="7"/>
      <c r="N55" s="7"/>
    </row>
    <row r="56" ht="13.55" customHeight="1">
      <c r="A56" s="9"/>
      <c r="B56" s="178"/>
      <c r="C56" s="7"/>
      <c r="D56" s="7"/>
      <c r="E56" t="s" s="185">
        <v>373</v>
      </c>
      <c r="F56" s="186">
        <v>0</v>
      </c>
      <c r="G56" t="s" s="187">
        <v>8</v>
      </c>
      <c r="H56" t="s" s="25">
        <v>374</v>
      </c>
      <c r="I56" s="157">
        <v>0</v>
      </c>
      <c r="J56" s="158">
        <v>0</v>
      </c>
      <c r="K56" s="16"/>
      <c r="L56" s="7"/>
      <c r="M56" s="7"/>
      <c r="N56" s="7"/>
    </row>
    <row r="57" ht="13.55" customHeight="1">
      <c r="A57" s="9"/>
      <c r="B57" s="178"/>
      <c r="C57" s="7"/>
      <c r="D57" s="7"/>
      <c r="E57" t="s" s="26">
        <v>375</v>
      </c>
      <c r="F57" s="188">
        <v>0</v>
      </c>
      <c r="G57" t="s" s="156">
        <v>8</v>
      </c>
      <c r="H57" t="s" s="159">
        <v>376</v>
      </c>
      <c r="I57" s="160">
        <v>0</v>
      </c>
      <c r="J57" s="161">
        <v>0</v>
      </c>
      <c r="K57" s="16"/>
      <c r="L57" s="7"/>
      <c r="M57" s="7"/>
      <c r="N57" s="7"/>
    </row>
    <row r="58" ht="13.55" customHeight="1">
      <c r="A58" s="9"/>
      <c r="B58" s="178"/>
      <c r="C58" s="7"/>
      <c r="D58" s="7"/>
      <c r="E58" t="s" s="26">
        <v>377</v>
      </c>
      <c r="F58" s="157">
        <v>0</v>
      </c>
      <c r="G58" t="s" s="156">
        <v>8</v>
      </c>
      <c r="H58" t="s" s="159">
        <v>378</v>
      </c>
      <c r="I58" s="160">
        <v>0</v>
      </c>
      <c r="J58" t="s" s="162">
        <v>8</v>
      </c>
      <c r="K58" s="16"/>
      <c r="L58" s="7"/>
      <c r="M58" s="7"/>
      <c r="N58" s="7"/>
    </row>
    <row r="59" ht="13.55" customHeight="1">
      <c r="A59" s="9"/>
      <c r="B59" s="178"/>
      <c r="C59" s="7"/>
      <c r="D59" s="7"/>
      <c r="E59" t="s" s="185">
        <v>57</v>
      </c>
      <c r="F59" s="186">
        <v>0</v>
      </c>
      <c r="G59" t="s" s="187">
        <v>8</v>
      </c>
      <c r="H59" t="s" s="159">
        <v>380</v>
      </c>
      <c r="I59" s="160">
        <v>0</v>
      </c>
      <c r="J59" s="163"/>
      <c r="K59" s="16"/>
      <c r="L59" s="7"/>
      <c r="M59" s="7"/>
      <c r="N59" s="7"/>
    </row>
    <row r="60" ht="13.55" customHeight="1">
      <c r="A60" s="9"/>
      <c r="B60" s="178"/>
      <c r="C60" s="7"/>
      <c r="D60" s="7"/>
      <c r="E60" t="s" s="185">
        <v>381</v>
      </c>
      <c r="F60" s="186">
        <v>0</v>
      </c>
      <c r="G60" t="s" s="187">
        <v>8</v>
      </c>
      <c r="H60" t="s" s="25">
        <v>8</v>
      </c>
      <c r="I60" s="164"/>
      <c r="J60" s="158"/>
      <c r="K60" s="16"/>
      <c r="L60" s="7"/>
      <c r="M60" s="7"/>
      <c r="N60" s="7"/>
    </row>
    <row r="61" ht="15.75" customHeight="1">
      <c r="A61" s="9"/>
      <c r="B61" s="178"/>
      <c r="C61" s="7"/>
      <c r="D61" s="7"/>
      <c r="E61" t="s" s="26">
        <v>384</v>
      </c>
      <c r="F61" s="188">
        <v>0</v>
      </c>
      <c r="G61" t="s" s="156">
        <v>8</v>
      </c>
      <c r="H61" t="s" s="165">
        <v>8</v>
      </c>
      <c r="I61" s="166" cm="1">
        <f t="array" ref="I61">I59+I58+I57+I56</f>
        <v>0</v>
      </c>
      <c r="J61" s="167" cm="1">
        <f t="array" ref="J61">J57+J56</f>
        <v>0</v>
      </c>
      <c r="K61" s="16"/>
      <c r="L61" s="7"/>
      <c r="M61" s="7"/>
      <c r="N61" s="7"/>
    </row>
    <row r="62" ht="14.05" customHeight="1">
      <c r="A62" s="9"/>
      <c r="B62" s="178"/>
      <c r="C62" s="7"/>
      <c r="D62" s="7"/>
      <c r="E62" t="s" s="26">
        <v>395</v>
      </c>
      <c r="F62" s="144">
        <v>0</v>
      </c>
      <c r="G62" t="s" s="26">
        <v>8</v>
      </c>
      <c r="H62" t="s" s="168">
        <v>8</v>
      </c>
      <c r="I62" s="78"/>
      <c r="J62" s="169"/>
      <c r="K62" s="16"/>
      <c r="L62" s="7"/>
      <c r="M62" s="7"/>
      <c r="N62" s="7"/>
    </row>
    <row r="63" ht="15.75" customHeight="1">
      <c r="A63" s="9"/>
      <c r="B63" s="179"/>
      <c r="C63" s="8"/>
      <c r="D63" s="8"/>
      <c r="E63" t="s" s="192">
        <v>396</v>
      </c>
      <c r="F63" s="170">
        <v>0</v>
      </c>
      <c r="G63" t="s" s="192">
        <v>8</v>
      </c>
      <c r="H63" s="170"/>
      <c r="I63" s="8"/>
      <c r="J63" s="171"/>
      <c r="K63" s="16"/>
      <c r="L63" s="7"/>
      <c r="M63" s="7"/>
      <c r="N63"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M60"/>
  <sheetViews>
    <sheetView workbookViewId="0" showGridLines="0" defaultGridColor="1"/>
  </sheetViews>
  <sheetFormatPr defaultColWidth="10.8333" defaultRowHeight="15" customHeight="1" outlineLevelRow="0" outlineLevelCol="0"/>
  <cols>
    <col min="1" max="4" width="10.8516" style="199" customWidth="1"/>
    <col min="5" max="5" width="31.8516" style="199" customWidth="1"/>
    <col min="6" max="6" width="37.3516" style="199" customWidth="1"/>
    <col min="7" max="7" width="18" style="199" customWidth="1"/>
    <col min="8" max="9" width="10.8516" style="199" customWidth="1"/>
    <col min="10" max="10" width="16.5" style="199" customWidth="1"/>
    <col min="11" max="13" width="10.8516" style="199" customWidth="1"/>
    <col min="14" max="16384" width="10.8516" style="199" customWidth="1"/>
  </cols>
  <sheetData>
    <row r="1" ht="15.75" customHeight="1">
      <c r="A1" s="7"/>
      <c r="B1" s="8"/>
      <c r="C1" s="8"/>
      <c r="D1" s="8"/>
      <c r="E1" s="8"/>
      <c r="F1" s="8"/>
      <c r="G1" s="8"/>
      <c r="H1" s="8"/>
      <c r="I1" s="8"/>
      <c r="J1" s="8"/>
      <c r="K1" s="7"/>
      <c r="L1" s="7"/>
      <c r="M1" s="7"/>
    </row>
    <row r="2" ht="18" customHeight="1">
      <c r="A2" s="9"/>
      <c r="B2" t="s" s="107">
        <v>77</v>
      </c>
      <c r="C2" s="108"/>
      <c r="D2" s="108"/>
      <c r="E2" s="85"/>
      <c r="F2" s="84"/>
      <c r="G2" s="84"/>
      <c r="H2" s="84"/>
      <c r="I2" s="85"/>
      <c r="J2" s="146"/>
      <c r="K2" s="16"/>
      <c r="L2" s="7"/>
      <c r="M2" s="7"/>
    </row>
    <row r="3" ht="18" customHeight="1">
      <c r="A3" s="9"/>
      <c r="B3" t="s" s="86">
        <v>170</v>
      </c>
      <c r="C3" s="87"/>
      <c r="D3" s="87"/>
      <c r="E3" s="88"/>
      <c r="F3" s="88"/>
      <c r="G3" s="88"/>
      <c r="H3" s="113"/>
      <c r="I3" s="88"/>
      <c r="J3" s="147"/>
      <c r="K3" s="16"/>
      <c r="L3" s="7"/>
      <c r="M3" s="7"/>
    </row>
    <row r="4" ht="16.5" customHeight="1">
      <c r="A4" s="9"/>
      <c r="B4" s="110"/>
      <c r="C4" s="89"/>
      <c r="D4" s="89"/>
      <c r="E4" t="s" s="90">
        <v>78</v>
      </c>
      <c r="F4" t="s" s="90">
        <v>52</v>
      </c>
      <c r="G4" s="89"/>
      <c r="H4" t="s" s="90">
        <v>53</v>
      </c>
      <c r="I4" t="s" s="90">
        <v>53</v>
      </c>
      <c r="J4" t="s" s="148">
        <v>53</v>
      </c>
      <c r="K4" s="16"/>
      <c r="L4" s="7"/>
      <c r="M4" s="7"/>
    </row>
    <row r="5" ht="33" customHeight="1">
      <c r="A5" s="9"/>
      <c r="B5" t="s" s="111">
        <v>79</v>
      </c>
      <c r="C5" t="s" s="90">
        <v>54</v>
      </c>
      <c r="D5" t="s" s="90">
        <v>364</v>
      </c>
      <c r="E5" s="114">
        <v>12061001385</v>
      </c>
      <c r="F5" t="s" s="90">
        <v>55</v>
      </c>
      <c r="G5" t="s" s="90">
        <v>8</v>
      </c>
      <c r="H5" t="s" s="90">
        <v>109</v>
      </c>
      <c r="I5" t="s" s="90">
        <v>365</v>
      </c>
      <c r="J5" t="s" s="148">
        <v>366</v>
      </c>
      <c r="K5" s="16"/>
      <c r="L5" s="7"/>
      <c r="M5" s="7"/>
    </row>
    <row r="6" ht="16.5" customHeight="1">
      <c r="A6" s="9"/>
      <c r="B6" t="s" s="111">
        <v>8</v>
      </c>
      <c r="C6" t="s" s="94">
        <v>58</v>
      </c>
      <c r="D6" s="149"/>
      <c r="E6" t="s" s="95">
        <v>8</v>
      </c>
      <c r="F6" s="89"/>
      <c r="G6" t="s" s="96">
        <v>59</v>
      </c>
      <c r="H6" s="97"/>
      <c r="I6" t="s" s="90">
        <v>8</v>
      </c>
      <c r="J6" s="147">
        <v>788122.29</v>
      </c>
      <c r="K6" s="16"/>
      <c r="L6" s="7"/>
      <c r="M6" s="7"/>
    </row>
    <row r="7" ht="13.55" customHeight="1">
      <c r="A7" s="9"/>
      <c r="B7" s="112">
        <v>45870</v>
      </c>
      <c r="C7" s="98">
        <v>2342</v>
      </c>
      <c r="D7" t="s" s="19">
        <v>367</v>
      </c>
      <c r="E7" t="s" s="80">
        <v>60</v>
      </c>
      <c r="F7" t="s" s="80">
        <v>165</v>
      </c>
      <c r="G7" s="34">
        <v>500</v>
      </c>
      <c r="H7" s="34"/>
      <c r="I7" s="35"/>
      <c r="J7" s="147" cm="1">
        <f t="array" ref="J7">J6+G7</f>
        <v>788622.29</v>
      </c>
      <c r="K7" s="16"/>
      <c r="L7" s="7"/>
      <c r="M7" s="7"/>
    </row>
    <row r="8" ht="13.55" customHeight="1">
      <c r="A8" s="9"/>
      <c r="B8" s="112">
        <v>45870</v>
      </c>
      <c r="C8" s="98">
        <v>2343</v>
      </c>
      <c r="D8" t="s" s="19">
        <v>367</v>
      </c>
      <c r="E8" t="s" s="80">
        <v>60</v>
      </c>
      <c r="F8" t="s" s="80">
        <v>98</v>
      </c>
      <c r="G8" s="34">
        <v>500</v>
      </c>
      <c r="H8" s="34"/>
      <c r="I8" s="35"/>
      <c r="J8" s="147" cm="1">
        <f t="array" ref="J8">J7+G8</f>
        <v>789122.29</v>
      </c>
      <c r="K8" s="16"/>
      <c r="L8" s="7"/>
      <c r="M8" s="7"/>
    </row>
    <row r="9" ht="13.55" customHeight="1">
      <c r="A9" s="9"/>
      <c r="B9" s="112">
        <v>45876</v>
      </c>
      <c r="C9" s="18"/>
      <c r="D9" t="s" s="19">
        <v>367</v>
      </c>
      <c r="E9" t="s" s="80">
        <v>60</v>
      </c>
      <c r="F9" t="s" s="80">
        <v>171</v>
      </c>
      <c r="G9" s="34"/>
      <c r="H9" s="34">
        <v>500</v>
      </c>
      <c r="I9" s="35"/>
      <c r="J9" s="147" cm="1">
        <f t="array" ref="J9">J8+G9</f>
        <v>789122.29</v>
      </c>
      <c r="K9" s="16"/>
      <c r="L9" s="7"/>
      <c r="M9" s="7"/>
    </row>
    <row r="10" ht="13.55" customHeight="1">
      <c r="A10" s="9"/>
      <c r="B10" s="112">
        <v>45880</v>
      </c>
      <c r="C10" s="98"/>
      <c r="D10" t="s" s="19">
        <v>367</v>
      </c>
      <c r="E10" t="s" s="80">
        <v>99</v>
      </c>
      <c r="F10" t="s" s="80">
        <v>172</v>
      </c>
      <c r="G10" s="34">
        <v>10178.42</v>
      </c>
      <c r="H10" s="34"/>
      <c r="I10" s="35"/>
      <c r="J10" s="147" cm="1">
        <f t="array" ref="J10">J9+G10</f>
        <v>799300.71</v>
      </c>
      <c r="K10" s="16"/>
      <c r="L10" s="7"/>
      <c r="M10" s="7"/>
    </row>
    <row r="11" ht="13.55" customHeight="1">
      <c r="A11" s="9"/>
      <c r="B11" s="112">
        <v>45883</v>
      </c>
      <c r="C11" s="98"/>
      <c r="D11" t="s" s="19">
        <v>367</v>
      </c>
      <c r="E11" t="s" s="80">
        <v>99</v>
      </c>
      <c r="F11" t="s" s="80">
        <v>167</v>
      </c>
      <c r="G11" s="34">
        <v>50250</v>
      </c>
      <c r="H11" s="34"/>
      <c r="I11" s="35"/>
      <c r="J11" s="147" cm="1">
        <f t="array" ref="J11">J10+G11</f>
        <v>849550.71</v>
      </c>
      <c r="K11" s="16"/>
      <c r="L11" s="7"/>
      <c r="M11" s="7"/>
    </row>
    <row r="12" ht="13.55" customHeight="1">
      <c r="A12" s="9"/>
      <c r="B12" s="112">
        <v>45884</v>
      </c>
      <c r="C12" s="98"/>
      <c r="D12" t="s" s="19">
        <v>367</v>
      </c>
      <c r="E12" t="s" s="80">
        <v>99</v>
      </c>
      <c r="F12" t="s" s="80">
        <v>173</v>
      </c>
      <c r="G12" s="34">
        <v>7700</v>
      </c>
      <c r="H12" s="34"/>
      <c r="I12" s="35"/>
      <c r="J12" s="147" cm="1">
        <f t="array" ref="J12">J11+G12</f>
        <v>857250.71</v>
      </c>
      <c r="K12" s="16"/>
      <c r="L12" s="7"/>
      <c r="M12" s="7"/>
    </row>
    <row r="13" ht="13.55" customHeight="1">
      <c r="A13" s="9"/>
      <c r="B13" s="112">
        <v>45884</v>
      </c>
      <c r="C13" s="100"/>
      <c r="D13" t="s" s="19">
        <v>367</v>
      </c>
      <c r="E13" t="s" s="80">
        <v>99</v>
      </c>
      <c r="F13" t="s" s="80">
        <v>100</v>
      </c>
      <c r="G13" s="34">
        <v>19550</v>
      </c>
      <c r="H13" s="34"/>
      <c r="I13" s="35"/>
      <c r="J13" s="147" cm="1">
        <f t="array" ref="J13">J12+G13</f>
        <v>876800.71</v>
      </c>
      <c r="K13" s="16"/>
      <c r="L13" s="7"/>
      <c r="M13" s="7"/>
    </row>
    <row r="14" ht="13.55" customHeight="1">
      <c r="A14" s="9"/>
      <c r="B14" s="112">
        <v>45884</v>
      </c>
      <c r="C14" s="98">
        <v>2461</v>
      </c>
      <c r="D14" t="s" s="19">
        <v>367</v>
      </c>
      <c r="E14" t="s" s="80">
        <v>60</v>
      </c>
      <c r="F14" t="s" s="80">
        <v>153</v>
      </c>
      <c r="G14" s="34">
        <v>500</v>
      </c>
      <c r="H14" s="34"/>
      <c r="I14" s="35"/>
      <c r="J14" s="147" cm="1">
        <f t="array" ref="J14">J13+G14</f>
        <v>877300.71</v>
      </c>
      <c r="K14" s="16"/>
      <c r="L14" s="7"/>
      <c r="M14" s="7"/>
    </row>
    <row r="15" ht="13.55" customHeight="1">
      <c r="A15" s="9"/>
      <c r="B15" s="112">
        <v>45887</v>
      </c>
      <c r="C15" s="18"/>
      <c r="D15" t="s" s="19">
        <v>367</v>
      </c>
      <c r="E15" t="s" s="80">
        <v>99</v>
      </c>
      <c r="F15" t="s" s="80">
        <v>172</v>
      </c>
      <c r="G15" s="34">
        <v>10178.42</v>
      </c>
      <c r="H15" s="34"/>
      <c r="I15" s="35"/>
      <c r="J15" s="147" cm="1">
        <f t="array" ref="J15">J14+G15</f>
        <v>887479.13</v>
      </c>
      <c r="K15" s="16"/>
      <c r="L15" s="7"/>
      <c r="M15" s="7"/>
    </row>
    <row r="16" ht="13.55" customHeight="1">
      <c r="A16" s="9"/>
      <c r="B16" s="112">
        <v>45887</v>
      </c>
      <c r="C16" s="117">
        <v>2344</v>
      </c>
      <c r="D16" t="s" s="19">
        <v>367</v>
      </c>
      <c r="E16" t="s" s="80">
        <v>60</v>
      </c>
      <c r="F16" t="s" s="80">
        <v>119</v>
      </c>
      <c r="G16" s="34">
        <v>1500</v>
      </c>
      <c r="H16" s="34"/>
      <c r="I16" s="35"/>
      <c r="J16" s="147" cm="1">
        <f t="array" ref="J16">J15+G16</f>
        <v>888979.13</v>
      </c>
      <c r="K16" s="16"/>
      <c r="L16" s="7"/>
      <c r="M16" s="7"/>
    </row>
    <row r="17" ht="13.55" customHeight="1">
      <c r="A17" s="9"/>
      <c r="B17" s="112">
        <v>45887</v>
      </c>
      <c r="C17" s="98">
        <v>2345</v>
      </c>
      <c r="D17" t="s" s="19">
        <v>367</v>
      </c>
      <c r="E17" t="s" s="80">
        <v>60</v>
      </c>
      <c r="F17" t="s" s="80">
        <v>162</v>
      </c>
      <c r="G17" s="34">
        <v>1500</v>
      </c>
      <c r="H17" s="34"/>
      <c r="I17" s="35"/>
      <c r="J17" s="147" cm="1">
        <f t="array" ref="J17">J16+G17</f>
        <v>890479.13</v>
      </c>
      <c r="K17" s="16"/>
      <c r="L17" s="7"/>
      <c r="M17" s="7"/>
    </row>
    <row r="18" ht="13.55" customHeight="1">
      <c r="A18" s="9"/>
      <c r="B18" s="112">
        <v>45887</v>
      </c>
      <c r="C18" s="98">
        <v>2346</v>
      </c>
      <c r="D18" t="s" s="19">
        <v>367</v>
      </c>
      <c r="E18" t="s" s="80">
        <v>60</v>
      </c>
      <c r="F18" t="s" s="80">
        <v>121</v>
      </c>
      <c r="G18" s="34">
        <v>1000</v>
      </c>
      <c r="H18" s="34"/>
      <c r="I18" s="35"/>
      <c r="J18" s="147" cm="1">
        <f t="array" ref="J18">J17+G18</f>
        <v>891479.13</v>
      </c>
      <c r="K18" s="16"/>
      <c r="L18" s="7"/>
      <c r="M18" s="7"/>
    </row>
    <row r="19" ht="13.55" customHeight="1">
      <c r="A19" s="9"/>
      <c r="B19" s="112">
        <v>45887</v>
      </c>
      <c r="C19" s="98">
        <v>2347</v>
      </c>
      <c r="D19" t="s" s="19">
        <v>367</v>
      </c>
      <c r="E19" t="s" s="80">
        <v>60</v>
      </c>
      <c r="F19" t="s" s="80">
        <v>117</v>
      </c>
      <c r="G19" s="34">
        <v>500</v>
      </c>
      <c r="H19" s="34"/>
      <c r="I19" s="35"/>
      <c r="J19" s="147" cm="1">
        <f t="array" ref="J19">J18+G19</f>
        <v>891979.13</v>
      </c>
      <c r="K19" s="16"/>
      <c r="L19" s="7"/>
      <c r="M19" s="7"/>
    </row>
    <row r="20" ht="13.55" customHeight="1">
      <c r="A20" s="9"/>
      <c r="B20" s="112">
        <v>45887</v>
      </c>
      <c r="C20" s="98">
        <v>2348</v>
      </c>
      <c r="D20" t="s" s="19">
        <v>367</v>
      </c>
      <c r="E20" t="s" s="80">
        <v>60</v>
      </c>
      <c r="F20" t="s" s="80">
        <v>133</v>
      </c>
      <c r="G20" s="34">
        <v>500</v>
      </c>
      <c r="H20" s="34"/>
      <c r="I20" s="35"/>
      <c r="J20" s="147" cm="1">
        <f t="array" ref="J20">J19+G20</f>
        <v>892479.13</v>
      </c>
      <c r="K20" s="16"/>
      <c r="L20" s="7"/>
      <c r="M20" s="7"/>
    </row>
    <row r="21" ht="13.55" customHeight="1">
      <c r="A21" s="9"/>
      <c r="B21" s="112">
        <v>45894</v>
      </c>
      <c r="C21" s="98"/>
      <c r="D21" t="s" s="19">
        <v>367</v>
      </c>
      <c r="E21" t="s" s="80">
        <v>60</v>
      </c>
      <c r="F21" t="s" s="80">
        <v>167</v>
      </c>
      <c r="G21" s="34">
        <v>500</v>
      </c>
      <c r="H21" s="34"/>
      <c r="I21" s="35"/>
      <c r="J21" s="147" cm="1">
        <f t="array" ref="J21">J20+G21</f>
        <v>892979.13</v>
      </c>
      <c r="K21" s="16"/>
      <c r="L21" s="7"/>
      <c r="M21" s="7"/>
    </row>
    <row r="22" ht="13.55" customHeight="1">
      <c r="A22" s="9"/>
      <c r="B22" s="112">
        <v>45894</v>
      </c>
      <c r="C22" s="98"/>
      <c r="D22" t="s" s="19">
        <v>367</v>
      </c>
      <c r="E22" t="s" s="80">
        <v>60</v>
      </c>
      <c r="F22" t="s" s="80">
        <v>62</v>
      </c>
      <c r="G22" s="34">
        <v>500</v>
      </c>
      <c r="H22" s="34"/>
      <c r="I22" s="35"/>
      <c r="J22" s="147" cm="1">
        <f t="array" ref="J22">J21+G22</f>
        <v>893479.13</v>
      </c>
      <c r="K22" s="16"/>
      <c r="L22" s="7"/>
      <c r="M22" s="7"/>
    </row>
    <row r="23" ht="13.55" customHeight="1">
      <c r="A23" s="9"/>
      <c r="B23" s="112"/>
      <c r="C23" s="98"/>
      <c r="D23" s="98"/>
      <c r="E23" s="35"/>
      <c r="F23" s="35"/>
      <c r="G23" s="34"/>
      <c r="H23" s="34"/>
      <c r="I23" s="35"/>
      <c r="J23" t="s" s="176">
        <v>8</v>
      </c>
      <c r="K23" s="16"/>
      <c r="L23" s="7"/>
      <c r="M23" s="7"/>
    </row>
    <row r="24" ht="13.55" customHeight="1">
      <c r="A24" s="9"/>
      <c r="B24" s="112"/>
      <c r="C24" s="98"/>
      <c r="D24" s="18"/>
      <c r="E24" s="35"/>
      <c r="F24" s="35"/>
      <c r="G24" s="34"/>
      <c r="H24" s="34"/>
      <c r="I24" s="35"/>
      <c r="J24" t="s" s="176">
        <v>8</v>
      </c>
      <c r="K24" s="16"/>
      <c r="L24" s="7"/>
      <c r="M24" s="7"/>
    </row>
    <row r="25" ht="13.55" customHeight="1">
      <c r="A25" s="9"/>
      <c r="B25" s="112"/>
      <c r="C25" s="98"/>
      <c r="D25" s="98"/>
      <c r="E25" s="35"/>
      <c r="F25" s="35"/>
      <c r="G25" s="34"/>
      <c r="H25" s="34"/>
      <c r="I25" s="35"/>
      <c r="J25" t="s" s="176">
        <v>8</v>
      </c>
      <c r="K25" s="16"/>
      <c r="L25" s="7"/>
      <c r="M25" s="7"/>
    </row>
    <row r="26" ht="13.55" customHeight="1">
      <c r="A26" s="9"/>
      <c r="B26" s="112"/>
      <c r="C26" s="98"/>
      <c r="D26" s="98"/>
      <c r="E26" s="35"/>
      <c r="F26" s="35"/>
      <c r="G26" s="34"/>
      <c r="H26" s="34"/>
      <c r="I26" s="35"/>
      <c r="J26" t="s" s="176">
        <v>8</v>
      </c>
      <c r="K26" s="16"/>
      <c r="L26" s="7"/>
      <c r="M26" s="7"/>
    </row>
    <row r="27" ht="13.55" customHeight="1">
      <c r="A27" s="7"/>
      <c r="B27" s="118"/>
      <c r="C27" s="98"/>
      <c r="D27" s="98"/>
      <c r="E27" s="35"/>
      <c r="F27" s="35"/>
      <c r="G27" s="34"/>
      <c r="H27" s="34"/>
      <c r="I27" s="35"/>
      <c r="J27" s="147"/>
      <c r="K27" s="16"/>
      <c r="L27" s="7"/>
      <c r="M27" s="7"/>
    </row>
    <row r="28" ht="13.55" customHeight="1">
      <c r="A28" s="79"/>
      <c r="B28" s="101"/>
      <c r="C28" s="98"/>
      <c r="D28" s="98"/>
      <c r="E28" s="35"/>
      <c r="F28" s="101"/>
      <c r="G28" s="34"/>
      <c r="H28" s="34"/>
      <c r="I28" s="34"/>
      <c r="J28" s="147"/>
      <c r="K28" s="16"/>
      <c r="L28" s="7"/>
      <c r="M28" s="7"/>
    </row>
    <row r="29" ht="13.55" customHeight="1">
      <c r="A29" s="79"/>
      <c r="B29" s="101">
        <v>45880</v>
      </c>
      <c r="C29" s="101"/>
      <c r="D29" t="s" s="19">
        <v>368</v>
      </c>
      <c r="E29" t="s" s="80">
        <v>299</v>
      </c>
      <c r="F29" t="s" s="80">
        <v>300</v>
      </c>
      <c r="G29" s="34"/>
      <c r="H29" s="34"/>
      <c r="I29" s="34">
        <v>10178.42</v>
      </c>
      <c r="J29" s="147" cm="1">
        <f t="array" ref="J29">J22-I29</f>
        <v>883300.71</v>
      </c>
      <c r="K29" s="16"/>
      <c r="L29" s="7"/>
      <c r="M29" s="7"/>
    </row>
    <row r="30" ht="13.55" customHeight="1">
      <c r="A30" s="79"/>
      <c r="B30" s="101">
        <v>45883</v>
      </c>
      <c r="C30" s="101"/>
      <c r="D30" t="s" s="19">
        <v>368</v>
      </c>
      <c r="E30" t="s" s="80">
        <v>301</v>
      </c>
      <c r="F30" t="s" s="80">
        <v>283</v>
      </c>
      <c r="G30" s="34"/>
      <c r="H30" s="34"/>
      <c r="I30" s="34">
        <v>13502.08</v>
      </c>
      <c r="J30" s="147" cm="1">
        <f t="array" ref="J30">J29-I30</f>
        <v>869798.63</v>
      </c>
      <c r="K30" s="16"/>
      <c r="L30" t="s" s="26">
        <v>8</v>
      </c>
      <c r="M30" t="s" s="26">
        <v>8</v>
      </c>
    </row>
    <row r="31" ht="13.55" customHeight="1">
      <c r="A31" s="79"/>
      <c r="B31" s="101">
        <v>45883</v>
      </c>
      <c r="C31" s="101"/>
      <c r="D31" t="s" s="19">
        <v>368</v>
      </c>
      <c r="E31" t="s" s="80">
        <v>99</v>
      </c>
      <c r="F31" t="s" s="80">
        <v>302</v>
      </c>
      <c r="G31" s="34"/>
      <c r="H31" s="34"/>
      <c r="I31" s="34">
        <v>11.6</v>
      </c>
      <c r="J31" s="147" cm="1">
        <f t="array" ref="J31">J30-I31</f>
        <v>869787.03</v>
      </c>
      <c r="K31" s="16"/>
      <c r="L31" s="7"/>
      <c r="M31" s="7"/>
    </row>
    <row r="32" ht="13.55" customHeight="1">
      <c r="A32" s="79"/>
      <c r="B32" s="101">
        <v>45884</v>
      </c>
      <c r="C32" s="101"/>
      <c r="D32" t="s" s="19">
        <v>368</v>
      </c>
      <c r="E32" t="s" s="80">
        <v>99</v>
      </c>
      <c r="F32" t="s" s="80">
        <v>303</v>
      </c>
      <c r="G32" s="34"/>
      <c r="H32" s="34"/>
      <c r="I32" s="34">
        <v>1165.8</v>
      </c>
      <c r="J32" s="147" cm="1">
        <f t="array" ref="J32">J31-I32</f>
        <v>868621.23</v>
      </c>
      <c r="K32" s="16"/>
      <c r="L32" s="7"/>
      <c r="M32" s="7"/>
    </row>
    <row r="33" ht="13.55" customHeight="1">
      <c r="A33" s="79"/>
      <c r="B33" s="101">
        <v>45884</v>
      </c>
      <c r="C33" s="101"/>
      <c r="D33" t="s" s="19">
        <v>368</v>
      </c>
      <c r="E33" t="s" s="80">
        <v>99</v>
      </c>
      <c r="F33" t="s" s="80">
        <v>304</v>
      </c>
      <c r="G33" s="34"/>
      <c r="H33" s="34"/>
      <c r="I33" s="34">
        <v>169.7</v>
      </c>
      <c r="J33" s="147" cm="1">
        <f t="array" ref="J33">J32-I33</f>
        <v>868451.53</v>
      </c>
      <c r="K33" s="16"/>
      <c r="L33" s="7"/>
      <c r="M33" s="7"/>
    </row>
    <row r="34" ht="13.55" customHeight="1">
      <c r="A34" s="79"/>
      <c r="B34" s="101">
        <v>45884</v>
      </c>
      <c r="C34" s="101"/>
      <c r="D34" t="s" s="19">
        <v>368</v>
      </c>
      <c r="E34" t="s" s="80">
        <v>99</v>
      </c>
      <c r="F34" t="s" s="80">
        <v>305</v>
      </c>
      <c r="G34" s="34"/>
      <c r="H34" s="34"/>
      <c r="I34" s="34">
        <v>669.01</v>
      </c>
      <c r="J34" s="147" cm="1">
        <f t="array" ref="J34">J33-I34</f>
        <v>867782.52</v>
      </c>
      <c r="K34" s="16"/>
      <c r="L34" s="7"/>
      <c r="M34" s="7"/>
    </row>
    <row r="35" ht="13.55" customHeight="1">
      <c r="A35" s="9"/>
      <c r="B35" s="112">
        <v>45884</v>
      </c>
      <c r="C35" s="101"/>
      <c r="D35" t="s" s="19">
        <v>368</v>
      </c>
      <c r="E35" t="s" s="80">
        <v>306</v>
      </c>
      <c r="F35" t="s" s="80">
        <v>307</v>
      </c>
      <c r="G35" s="34"/>
      <c r="H35" s="34"/>
      <c r="I35" s="34">
        <v>15057.03</v>
      </c>
      <c r="J35" s="147" cm="1">
        <f t="array" ref="J35">J34-I35</f>
        <v>852725.49</v>
      </c>
      <c r="K35" s="16"/>
      <c r="L35" s="7"/>
      <c r="M35" s="7"/>
    </row>
    <row r="36" ht="13.55" customHeight="1">
      <c r="A36" s="9"/>
      <c r="B36" s="112">
        <v>45887</v>
      </c>
      <c r="C36" s="101"/>
      <c r="D36" t="s" s="19">
        <v>368</v>
      </c>
      <c r="E36" t="s" s="80">
        <v>308</v>
      </c>
      <c r="F36" t="s" s="80">
        <v>309</v>
      </c>
      <c r="G36" s="34"/>
      <c r="H36" s="34"/>
      <c r="I36" s="34">
        <v>10178.42</v>
      </c>
      <c r="J36" s="147" cm="1">
        <f t="array" ref="J36">J35-I36</f>
        <v>842547.0699999999</v>
      </c>
      <c r="K36" s="16"/>
      <c r="L36" s="7"/>
      <c r="M36" s="7"/>
    </row>
    <row r="37" ht="13.55" customHeight="1">
      <c r="A37" s="9"/>
      <c r="B37" s="112">
        <v>45888</v>
      </c>
      <c r="C37" s="101"/>
      <c r="D37" t="s" s="19">
        <v>368</v>
      </c>
      <c r="E37" t="s" s="80">
        <v>308</v>
      </c>
      <c r="F37" t="s" s="80">
        <v>309</v>
      </c>
      <c r="G37" s="34"/>
      <c r="H37" s="34"/>
      <c r="I37" s="34">
        <v>10178.42</v>
      </c>
      <c r="J37" s="147" cm="1">
        <f t="array" ref="J37">J36-I37</f>
        <v>832368.65</v>
      </c>
      <c r="K37" s="16"/>
      <c r="L37" s="7"/>
      <c r="M37" s="7"/>
    </row>
    <row r="38" ht="13.55" customHeight="1">
      <c r="A38" s="9"/>
      <c r="B38" s="112">
        <v>45891</v>
      </c>
      <c r="C38" s="101"/>
      <c r="D38" t="s" s="19">
        <v>368</v>
      </c>
      <c r="E38" t="s" s="80">
        <v>310</v>
      </c>
      <c r="F38" t="s" s="80">
        <v>311</v>
      </c>
      <c r="G38" s="34"/>
      <c r="H38" s="34"/>
      <c r="I38" s="34">
        <v>12298</v>
      </c>
      <c r="J38" s="147" cm="1">
        <f t="array" ref="J38">J37-I38</f>
        <v>820070.65</v>
      </c>
      <c r="K38" s="16"/>
      <c r="L38" s="7"/>
      <c r="M38" s="7"/>
    </row>
    <row r="39" ht="13.55" customHeight="1">
      <c r="A39" s="9"/>
      <c r="B39" s="112">
        <v>45891</v>
      </c>
      <c r="C39" s="101"/>
      <c r="D39" t="s" s="19">
        <v>368</v>
      </c>
      <c r="E39" t="s" s="80">
        <v>312</v>
      </c>
      <c r="F39" t="s" s="80">
        <v>313</v>
      </c>
      <c r="G39" s="34"/>
      <c r="H39" s="34"/>
      <c r="I39" s="34">
        <v>7656</v>
      </c>
      <c r="J39" s="147" cm="1">
        <f t="array" ref="J39">J38-I39</f>
        <v>812414.65</v>
      </c>
      <c r="K39" s="16"/>
      <c r="L39" s="7"/>
      <c r="M39" s="7"/>
    </row>
    <row r="40" ht="13.55" customHeight="1">
      <c r="A40" s="9"/>
      <c r="B40" s="112">
        <v>45894</v>
      </c>
      <c r="C40" s="101"/>
      <c r="D40" t="s" s="19">
        <v>368</v>
      </c>
      <c r="E40" t="s" s="80">
        <v>99</v>
      </c>
      <c r="F40" t="s" s="80">
        <v>314</v>
      </c>
      <c r="G40" s="34"/>
      <c r="H40" s="34"/>
      <c r="I40" s="34">
        <v>11.6</v>
      </c>
      <c r="J40" s="147" cm="1">
        <f t="array" ref="J40">J39-I40</f>
        <v>812403.05</v>
      </c>
      <c r="K40" s="16"/>
      <c r="L40" s="7"/>
      <c r="M40" s="7"/>
    </row>
    <row r="41" ht="13.55" customHeight="1">
      <c r="A41" s="9"/>
      <c r="B41" s="112">
        <v>45894</v>
      </c>
      <c r="C41" s="101"/>
      <c r="D41" t="s" s="19">
        <v>368</v>
      </c>
      <c r="E41" t="s" s="80">
        <v>99</v>
      </c>
      <c r="F41" t="s" s="80">
        <v>304</v>
      </c>
      <c r="G41" s="34"/>
      <c r="H41" s="34"/>
      <c r="I41" s="34">
        <v>11.02</v>
      </c>
      <c r="J41" s="147" cm="1">
        <f t="array" ref="J41">J40-I41</f>
        <v>812392.03</v>
      </c>
      <c r="K41" s="16"/>
      <c r="L41" s="7"/>
      <c r="M41" s="7"/>
    </row>
    <row r="42" ht="13.55" customHeight="1">
      <c r="A42" s="9"/>
      <c r="B42" s="112">
        <v>45898</v>
      </c>
      <c r="C42" s="101"/>
      <c r="D42" t="s" s="19">
        <v>368</v>
      </c>
      <c r="E42" t="s" s="80">
        <v>99</v>
      </c>
      <c r="F42" t="s" s="80">
        <v>315</v>
      </c>
      <c r="G42" s="34"/>
      <c r="H42" s="34"/>
      <c r="I42" s="34">
        <v>464</v>
      </c>
      <c r="J42" s="147" cm="1">
        <f t="array" ref="J42">J41-I42</f>
        <v>811928.03</v>
      </c>
      <c r="K42" s="16"/>
      <c r="L42" s="7"/>
      <c r="M42" s="7"/>
    </row>
    <row r="43" ht="13.55" customHeight="1">
      <c r="A43" s="9"/>
      <c r="B43" s="112">
        <v>45898</v>
      </c>
      <c r="C43" s="101"/>
      <c r="D43" t="s" s="19">
        <v>368</v>
      </c>
      <c r="E43" t="s" s="80">
        <v>301</v>
      </c>
      <c r="F43" t="s" s="80">
        <v>269</v>
      </c>
      <c r="G43" s="34"/>
      <c r="H43" s="34"/>
      <c r="I43" s="34">
        <v>13473.13</v>
      </c>
      <c r="J43" s="147" cm="1">
        <f t="array" ref="J43">J42-I43</f>
        <v>798454.9</v>
      </c>
      <c r="K43" s="16"/>
      <c r="L43" s="7"/>
      <c r="M43" s="7"/>
    </row>
    <row r="44" ht="13.55" customHeight="1">
      <c r="A44" s="9"/>
      <c r="B44" s="112">
        <v>45898</v>
      </c>
      <c r="C44" s="101"/>
      <c r="D44" t="s" s="19">
        <v>368</v>
      </c>
      <c r="E44" t="s" s="80">
        <v>99</v>
      </c>
      <c r="F44" t="s" s="80">
        <v>288</v>
      </c>
      <c r="G44" s="34"/>
      <c r="H44" s="34"/>
      <c r="I44" s="34">
        <v>11.6</v>
      </c>
      <c r="J44" s="147" cm="1">
        <f t="array" ref="J44">J43-I44</f>
        <v>798443.3</v>
      </c>
      <c r="K44" s="16"/>
      <c r="L44" s="7"/>
      <c r="M44" s="7"/>
    </row>
    <row r="45" ht="13.55" customHeight="1">
      <c r="A45" s="9"/>
      <c r="B45" s="112"/>
      <c r="C45" s="101"/>
      <c r="D45" s="101"/>
      <c r="E45" s="35"/>
      <c r="F45" s="35"/>
      <c r="G45" s="34"/>
      <c r="H45" s="34"/>
      <c r="I45" s="34"/>
      <c r="J45" t="s" s="176">
        <v>8</v>
      </c>
      <c r="K45" s="16"/>
      <c r="L45" s="7"/>
      <c r="M45" s="7"/>
    </row>
    <row r="46" ht="13.55" customHeight="1">
      <c r="A46" s="9"/>
      <c r="B46" s="112"/>
      <c r="C46" s="101"/>
      <c r="D46" s="101"/>
      <c r="E46" s="35"/>
      <c r="F46" s="35"/>
      <c r="G46" s="34"/>
      <c r="H46" s="34"/>
      <c r="I46" s="34"/>
      <c r="J46" t="s" s="176">
        <v>8</v>
      </c>
      <c r="K46" s="16"/>
      <c r="L46" s="7"/>
      <c r="M46" s="7"/>
    </row>
    <row r="47" ht="13.55" customHeight="1">
      <c r="A47" s="9"/>
      <c r="B47" s="112"/>
      <c r="C47" s="101"/>
      <c r="D47" s="101"/>
      <c r="E47" s="35"/>
      <c r="F47" s="35"/>
      <c r="G47" s="34"/>
      <c r="H47" s="34"/>
      <c r="I47" s="34"/>
      <c r="J47" t="s" s="176">
        <v>8</v>
      </c>
      <c r="K47" s="16"/>
      <c r="L47" s="7"/>
      <c r="M47" s="7"/>
    </row>
    <row r="48" ht="13.55" customHeight="1">
      <c r="A48" s="9"/>
      <c r="B48" s="112"/>
      <c r="C48" s="35"/>
      <c r="D48" s="35"/>
      <c r="E48" s="34"/>
      <c r="F48" s="35"/>
      <c r="G48" s="34"/>
      <c r="H48" s="34"/>
      <c r="I48" s="34"/>
      <c r="J48" s="147"/>
      <c r="K48" s="16"/>
      <c r="L48" s="7"/>
      <c r="M48" s="7"/>
    </row>
    <row r="49" ht="15.75" customHeight="1">
      <c r="A49" s="9"/>
      <c r="B49" s="112"/>
      <c r="C49" s="35"/>
      <c r="D49" s="35"/>
      <c r="E49" s="34"/>
      <c r="F49" s="35"/>
      <c r="G49" s="34"/>
      <c r="H49" s="150"/>
      <c r="I49" s="150"/>
      <c r="J49" s="151"/>
      <c r="K49" s="16"/>
      <c r="L49" s="7"/>
      <c r="M49" s="7"/>
    </row>
    <row r="50" ht="14.05" customHeight="1">
      <c r="A50" s="9"/>
      <c r="B50" s="177"/>
      <c r="C50" s="22"/>
      <c r="D50" s="22"/>
      <c r="E50" t="s" s="23">
        <v>8</v>
      </c>
      <c r="F50" s="196">
        <v>0</v>
      </c>
      <c r="G50" t="s" s="24">
        <v>8</v>
      </c>
      <c r="H50" t="s" s="153">
        <v>371</v>
      </c>
      <c r="I50" t="s" s="154">
        <v>8</v>
      </c>
      <c r="J50" t="s" s="155">
        <v>372</v>
      </c>
      <c r="K50" s="16"/>
      <c r="L50" s="7"/>
      <c r="M50" s="7"/>
    </row>
    <row r="51" ht="13.55" customHeight="1">
      <c r="A51" s="9"/>
      <c r="B51" s="178"/>
      <c r="C51" s="7"/>
      <c r="D51" s="7"/>
      <c r="E51" t="s" s="185">
        <v>373</v>
      </c>
      <c r="F51" s="186">
        <v>5250</v>
      </c>
      <c r="G51" t="s" s="187">
        <v>8</v>
      </c>
      <c r="H51" t="s" s="25">
        <v>374</v>
      </c>
      <c r="I51" s="157">
        <v>0</v>
      </c>
      <c r="J51" s="158">
        <v>0</v>
      </c>
      <c r="K51" s="16"/>
      <c r="L51" s="7"/>
      <c r="M51" s="7"/>
    </row>
    <row r="52" ht="13.55" customHeight="1">
      <c r="A52" s="9"/>
      <c r="B52" s="178"/>
      <c r="C52" s="7"/>
      <c r="D52" s="7"/>
      <c r="E52" t="s" s="26">
        <v>375</v>
      </c>
      <c r="F52" s="188">
        <v>56850</v>
      </c>
      <c r="G52" t="s" s="156">
        <v>8</v>
      </c>
      <c r="H52" t="s" s="159">
        <v>376</v>
      </c>
      <c r="I52" s="160">
        <v>0</v>
      </c>
      <c r="J52" s="161">
        <v>0</v>
      </c>
      <c r="K52" s="16"/>
      <c r="L52" s="7"/>
      <c r="M52" s="7"/>
    </row>
    <row r="53" ht="13.55" customHeight="1">
      <c r="A53" s="9"/>
      <c r="B53" s="178"/>
      <c r="C53" s="7"/>
      <c r="D53" s="7"/>
      <c r="E53" t="s" s="26">
        <v>377</v>
      </c>
      <c r="F53" s="157">
        <v>6500</v>
      </c>
      <c r="G53" t="s" s="156">
        <v>8</v>
      </c>
      <c r="H53" t="s" s="159">
        <v>378</v>
      </c>
      <c r="I53" s="160">
        <v>0</v>
      </c>
      <c r="J53" t="s" s="162">
        <v>8</v>
      </c>
      <c r="K53" s="16"/>
      <c r="L53" s="7"/>
      <c r="M53" s="7"/>
    </row>
    <row r="54" ht="13.55" customHeight="1">
      <c r="A54" s="9"/>
      <c r="B54" s="178"/>
      <c r="C54" s="7"/>
      <c r="D54" s="7"/>
      <c r="E54" t="s" s="185">
        <v>57</v>
      </c>
      <c r="F54" s="186">
        <v>500</v>
      </c>
      <c r="G54" t="s" s="187">
        <v>8</v>
      </c>
      <c r="H54" t="s" s="159">
        <v>380</v>
      </c>
      <c r="I54" s="160">
        <v>0</v>
      </c>
      <c r="J54" s="163"/>
      <c r="K54" s="16"/>
      <c r="L54" s="7"/>
      <c r="M54" s="7"/>
    </row>
    <row r="55" ht="13.55" customHeight="1">
      <c r="A55" s="9"/>
      <c r="B55" s="178"/>
      <c r="C55" s="7"/>
      <c r="D55" s="7"/>
      <c r="E55" t="s" s="185">
        <v>381</v>
      </c>
      <c r="F55" s="186">
        <v>7400</v>
      </c>
      <c r="G55" t="s" s="187">
        <v>8</v>
      </c>
      <c r="H55" t="s" s="25">
        <v>8</v>
      </c>
      <c r="I55" s="164"/>
      <c r="J55" s="158"/>
      <c r="K55" s="16"/>
      <c r="L55" s="7"/>
      <c r="M55" s="7"/>
    </row>
    <row r="56" ht="15.75" customHeight="1">
      <c r="A56" s="9"/>
      <c r="B56" s="178"/>
      <c r="C56" s="7"/>
      <c r="D56" s="7"/>
      <c r="E56" t="s" s="26">
        <v>384</v>
      </c>
      <c r="F56" s="188">
        <v>8000</v>
      </c>
      <c r="G56" t="s" s="156">
        <v>8</v>
      </c>
      <c r="H56" t="s" s="165">
        <v>8</v>
      </c>
      <c r="I56" s="166" cm="1">
        <f t="array" ref="I56">I54+I53+I52+I51</f>
        <v>0</v>
      </c>
      <c r="J56" s="167" cm="1">
        <f t="array" ref="J56">J52+J51</f>
        <v>0</v>
      </c>
      <c r="K56" s="16"/>
      <c r="L56" s="7"/>
      <c r="M56" s="7"/>
    </row>
    <row r="57" ht="14.05" customHeight="1">
      <c r="A57" s="9"/>
      <c r="B57" s="178"/>
      <c r="C57" s="7"/>
      <c r="D57" s="7"/>
      <c r="E57" t="s" s="26">
        <v>395</v>
      </c>
      <c r="F57" s="144">
        <v>20356.84</v>
      </c>
      <c r="G57" t="s" s="26">
        <v>8</v>
      </c>
      <c r="H57" t="s" s="168">
        <v>8</v>
      </c>
      <c r="I57" s="78"/>
      <c r="J57" s="169"/>
      <c r="K57" s="16"/>
      <c r="L57" s="7"/>
      <c r="M57" s="7"/>
    </row>
    <row r="58" ht="15.75" customHeight="1">
      <c r="A58" s="9"/>
      <c r="B58" s="178"/>
      <c r="C58" s="7"/>
      <c r="D58" s="7"/>
      <c r="E58" t="s" s="192">
        <v>398</v>
      </c>
      <c r="F58" s="144">
        <v>1000</v>
      </c>
      <c r="G58" s="144"/>
      <c r="H58" s="144"/>
      <c r="I58" s="7"/>
      <c r="J58" s="200"/>
      <c r="K58" s="16"/>
      <c r="L58" s="7"/>
      <c r="M58" s="7"/>
    </row>
    <row r="59" ht="14.05" customHeight="1">
      <c r="A59" s="9"/>
      <c r="B59" s="178"/>
      <c r="C59" s="7"/>
      <c r="D59" s="7"/>
      <c r="E59" t="s" s="168">
        <v>8</v>
      </c>
      <c r="F59" s="144" cm="1">
        <f t="array" ref="F59">G24+H24-F51-F52-F53-F54-F55-F56-F57-F58</f>
        <v>-105856.84</v>
      </c>
      <c r="G59" s="144"/>
      <c r="H59" s="144"/>
      <c r="I59" s="7"/>
      <c r="J59" s="200"/>
      <c r="K59" s="16"/>
      <c r="L59" s="7"/>
      <c r="M59" s="7"/>
    </row>
    <row r="60" ht="15.75" customHeight="1">
      <c r="A60" s="9"/>
      <c r="B60" s="179"/>
      <c r="C60" s="8"/>
      <c r="D60" s="8"/>
      <c r="E60" t="s" s="192">
        <v>8</v>
      </c>
      <c r="F60" t="s" s="192">
        <v>8</v>
      </c>
      <c r="G60" t="s" s="192">
        <v>8</v>
      </c>
      <c r="H60" s="170"/>
      <c r="I60" s="8"/>
      <c r="J60" s="171"/>
      <c r="K60" s="16"/>
      <c r="L60" s="7"/>
      <c r="M60"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J71"/>
  <sheetViews>
    <sheetView workbookViewId="0" showGridLines="0" defaultGridColor="1"/>
  </sheetViews>
  <sheetFormatPr defaultColWidth="10.8333" defaultRowHeight="15" customHeight="1" outlineLevelRow="0" outlineLevelCol="0"/>
  <cols>
    <col min="1" max="4" width="10.8516" style="201" customWidth="1"/>
    <col min="5" max="5" width="35.5" style="201" customWidth="1"/>
    <col min="6" max="6" width="38.8516" style="201" customWidth="1"/>
    <col min="7" max="7" width="12.5" style="201" customWidth="1"/>
    <col min="8" max="8" width="10.8516" style="201" customWidth="1"/>
    <col min="9" max="10" width="12.5" style="201" customWidth="1"/>
    <col min="11" max="16384" width="10.8516" style="201" customWidth="1"/>
  </cols>
  <sheetData>
    <row r="1" ht="15.75" customHeight="1">
      <c r="A1" t="s" s="26">
        <v>8</v>
      </c>
      <c r="B1" s="8"/>
      <c r="C1" s="8"/>
      <c r="D1" s="8"/>
      <c r="E1" s="8"/>
      <c r="F1" s="8"/>
      <c r="G1" s="8"/>
      <c r="H1" s="8"/>
      <c r="I1" s="8"/>
      <c r="J1" s="8"/>
    </row>
    <row r="2" ht="18" customHeight="1">
      <c r="A2" s="9"/>
      <c r="B2" t="s" s="107">
        <v>77</v>
      </c>
      <c r="C2" s="108"/>
      <c r="D2" s="108"/>
      <c r="E2" s="85"/>
      <c r="F2" s="84"/>
      <c r="G2" s="84"/>
      <c r="H2" s="84"/>
      <c r="I2" s="85"/>
      <c r="J2" s="146"/>
    </row>
    <row r="3" ht="18" customHeight="1">
      <c r="A3" s="9"/>
      <c r="B3" t="s" s="86">
        <v>174</v>
      </c>
      <c r="C3" s="87"/>
      <c r="D3" s="87"/>
      <c r="E3" s="88"/>
      <c r="F3" s="88"/>
      <c r="G3" s="88"/>
      <c r="H3" s="113"/>
      <c r="I3" s="88"/>
      <c r="J3" s="147"/>
    </row>
    <row r="4" ht="16.5" customHeight="1">
      <c r="A4" s="9"/>
      <c r="B4" s="110"/>
      <c r="C4" s="89"/>
      <c r="D4" s="89"/>
      <c r="E4" t="s" s="90">
        <v>78</v>
      </c>
      <c r="F4" t="s" s="90">
        <v>52</v>
      </c>
      <c r="G4" s="89"/>
      <c r="H4" t="s" s="90">
        <v>53</v>
      </c>
      <c r="I4" t="s" s="90">
        <v>53</v>
      </c>
      <c r="J4" t="s" s="148">
        <v>53</v>
      </c>
    </row>
    <row r="5" ht="33" customHeight="1">
      <c r="A5" s="9"/>
      <c r="B5" t="s" s="111">
        <v>79</v>
      </c>
      <c r="C5" t="s" s="90">
        <v>54</v>
      </c>
      <c r="D5" t="s" s="90">
        <v>364</v>
      </c>
      <c r="E5" s="114">
        <v>12061001385</v>
      </c>
      <c r="F5" t="s" s="90">
        <v>55</v>
      </c>
      <c r="G5" t="s" s="90">
        <v>8</v>
      </c>
      <c r="H5" t="s" s="90">
        <v>109</v>
      </c>
      <c r="I5" t="s" s="90">
        <v>365</v>
      </c>
      <c r="J5" t="s" s="148">
        <v>366</v>
      </c>
    </row>
    <row r="6" ht="27" customHeight="1">
      <c r="A6" s="9"/>
      <c r="B6" t="s" s="111">
        <v>8</v>
      </c>
      <c r="C6" t="s" s="94">
        <v>58</v>
      </c>
      <c r="D6" s="149"/>
      <c r="E6" t="s" s="95">
        <v>8</v>
      </c>
      <c r="F6" s="89"/>
      <c r="G6" t="s" s="96">
        <v>59</v>
      </c>
      <c r="H6" s="97"/>
      <c r="I6" t="s" s="90">
        <v>8</v>
      </c>
      <c r="J6" s="147" cm="1">
        <f t="array" ref="J6">799945.3-1500</f>
        <v>798445.3</v>
      </c>
    </row>
    <row r="7" ht="13.55" customHeight="1">
      <c r="A7" s="9"/>
      <c r="B7" s="112">
        <v>45901</v>
      </c>
      <c r="C7" s="98"/>
      <c r="D7" t="s" s="19">
        <v>367</v>
      </c>
      <c r="E7" t="s" s="80">
        <v>60</v>
      </c>
      <c r="F7" t="s" s="80">
        <v>166</v>
      </c>
      <c r="G7" s="34"/>
      <c r="H7" s="34">
        <v>1500</v>
      </c>
      <c r="I7" s="35"/>
      <c r="J7" s="147" cm="1">
        <f t="array" ref="J7">J6+H7</f>
        <v>799945.3</v>
      </c>
    </row>
    <row r="8" ht="13.55" customHeight="1">
      <c r="A8" s="9"/>
      <c r="B8" s="112">
        <v>45901</v>
      </c>
      <c r="C8" s="98"/>
      <c r="D8" t="s" s="19">
        <v>367</v>
      </c>
      <c r="E8" t="s" s="80">
        <v>60</v>
      </c>
      <c r="F8" t="s" s="80">
        <v>175</v>
      </c>
      <c r="G8" s="34"/>
      <c r="H8" s="34">
        <v>1000</v>
      </c>
      <c r="I8" s="35"/>
      <c r="J8" s="147" cm="1">
        <f t="array" ref="J8">J7+H8</f>
        <v>800945.3</v>
      </c>
    </row>
    <row r="9" ht="13.55" customHeight="1">
      <c r="A9" s="9"/>
      <c r="B9" s="112">
        <v>45901</v>
      </c>
      <c r="C9" s="117">
        <v>2464</v>
      </c>
      <c r="D9" t="s" s="19">
        <v>367</v>
      </c>
      <c r="E9" t="s" s="80">
        <v>60</v>
      </c>
      <c r="F9" t="s" s="80">
        <v>146</v>
      </c>
      <c r="G9" s="34">
        <v>500</v>
      </c>
      <c r="H9" s="34"/>
      <c r="I9" s="35"/>
      <c r="J9" s="147" cm="1">
        <f t="array" ref="J9">J8+G9</f>
        <v>801445.3</v>
      </c>
    </row>
    <row r="10" ht="13.55" customHeight="1">
      <c r="A10" s="9"/>
      <c r="B10" s="112">
        <v>45902</v>
      </c>
      <c r="C10" s="98"/>
      <c r="D10" t="s" s="19">
        <v>367</v>
      </c>
      <c r="E10" t="s" s="80">
        <v>60</v>
      </c>
      <c r="F10" s="35"/>
      <c r="G10" s="34"/>
      <c r="H10" s="34">
        <v>500</v>
      </c>
      <c r="I10" s="35"/>
      <c r="J10" s="147" cm="1">
        <f t="array" ref="J10">J9+H10</f>
        <v>801945.3</v>
      </c>
    </row>
    <row r="11" ht="13.55" customHeight="1">
      <c r="A11" s="9"/>
      <c r="B11" s="112">
        <v>45908</v>
      </c>
      <c r="C11" s="98">
        <v>2465</v>
      </c>
      <c r="D11" t="s" s="19">
        <v>367</v>
      </c>
      <c r="E11" t="s" s="80">
        <v>60</v>
      </c>
      <c r="F11" t="s" s="80">
        <v>98</v>
      </c>
      <c r="G11" s="34">
        <v>500</v>
      </c>
      <c r="H11" s="34"/>
      <c r="I11" s="35"/>
      <c r="J11" s="147" cm="1">
        <f t="array" ref="J11">J10+G11</f>
        <v>802445.3</v>
      </c>
    </row>
    <row r="12" ht="13.55" customHeight="1">
      <c r="A12" s="9"/>
      <c r="B12" s="112">
        <v>45908</v>
      </c>
      <c r="C12" s="98"/>
      <c r="D12" t="s" s="19">
        <v>367</v>
      </c>
      <c r="E12" t="s" s="80">
        <v>60</v>
      </c>
      <c r="F12" t="s" s="80">
        <v>112</v>
      </c>
      <c r="G12" s="34">
        <v>0</v>
      </c>
      <c r="H12" s="34">
        <v>1000</v>
      </c>
      <c r="I12" s="35"/>
      <c r="J12" s="147" cm="1">
        <f t="array" ref="J12">J11+H12</f>
        <v>803445.3</v>
      </c>
    </row>
    <row r="13" ht="13.55" customHeight="1">
      <c r="A13" s="9"/>
      <c r="B13" s="112">
        <v>45915</v>
      </c>
      <c r="C13" s="100"/>
      <c r="D13" t="s" s="19">
        <v>367</v>
      </c>
      <c r="E13" t="s" s="80">
        <v>99</v>
      </c>
      <c r="F13" t="s" s="80">
        <v>100</v>
      </c>
      <c r="G13" s="34">
        <v>20050</v>
      </c>
      <c r="H13" s="34"/>
      <c r="I13" s="35"/>
      <c r="J13" s="147" cm="1">
        <f t="array" ref="J13">J12+G13</f>
        <v>823495.3</v>
      </c>
    </row>
    <row r="14" ht="13.55" customHeight="1">
      <c r="A14" s="9"/>
      <c r="B14" s="112">
        <v>45915</v>
      </c>
      <c r="C14" s="98"/>
      <c r="D14" t="s" s="19">
        <v>367</v>
      </c>
      <c r="E14" t="s" s="80">
        <v>99</v>
      </c>
      <c r="F14" t="s" s="80">
        <v>100</v>
      </c>
      <c r="G14" s="34">
        <v>49500</v>
      </c>
      <c r="H14" s="34"/>
      <c r="I14" s="35"/>
      <c r="J14" s="147" cm="1">
        <f t="array" ref="J14">J13+G14</f>
        <v>872995.3</v>
      </c>
    </row>
    <row r="15" ht="13.55" customHeight="1">
      <c r="A15" s="9"/>
      <c r="B15" s="112">
        <v>45915</v>
      </c>
      <c r="C15" s="18"/>
      <c r="D15" t="s" s="19">
        <v>367</v>
      </c>
      <c r="E15" t="s" s="80">
        <v>99</v>
      </c>
      <c r="F15" t="s" s="80">
        <v>100</v>
      </c>
      <c r="G15" s="34">
        <v>7200</v>
      </c>
      <c r="H15" s="34"/>
      <c r="I15" s="35"/>
      <c r="J15" s="147" cm="1">
        <f t="array" ref="J15">J14+G15</f>
        <v>880195.3</v>
      </c>
    </row>
    <row r="16" ht="13.55" customHeight="1">
      <c r="A16" s="9"/>
      <c r="B16" s="112">
        <v>45915</v>
      </c>
      <c r="C16" s="117">
        <v>2466</v>
      </c>
      <c r="D16" t="s" s="19">
        <v>367</v>
      </c>
      <c r="E16" t="s" s="80">
        <v>176</v>
      </c>
      <c r="F16" t="s" s="80">
        <v>140</v>
      </c>
      <c r="G16" s="34">
        <v>500</v>
      </c>
      <c r="H16" s="34"/>
      <c r="I16" s="35"/>
      <c r="J16" s="147" cm="1">
        <f t="array" ref="J16">J15+G16</f>
        <v>880695.3</v>
      </c>
    </row>
    <row r="17" ht="13.55" customHeight="1">
      <c r="A17" s="9"/>
      <c r="B17" s="112">
        <v>45917</v>
      </c>
      <c r="C17" s="98">
        <v>2469</v>
      </c>
      <c r="D17" t="s" s="19">
        <v>367</v>
      </c>
      <c r="E17" t="s" s="80">
        <v>60</v>
      </c>
      <c r="F17" t="s" s="80">
        <v>177</v>
      </c>
      <c r="G17" s="34">
        <v>1500</v>
      </c>
      <c r="H17" s="34"/>
      <c r="I17" s="35"/>
      <c r="J17" s="147" cm="1">
        <f t="array" ref="J17">J16+G17</f>
        <v>882195.3</v>
      </c>
    </row>
    <row r="18" ht="13.55" customHeight="1">
      <c r="A18" s="9"/>
      <c r="B18" s="112">
        <v>45917</v>
      </c>
      <c r="C18" s="98"/>
      <c r="D18" t="s" s="19">
        <v>367</v>
      </c>
      <c r="E18" t="s" s="80">
        <v>99</v>
      </c>
      <c r="F18" t="s" s="80">
        <v>178</v>
      </c>
      <c r="G18" s="34">
        <v>7001.08</v>
      </c>
      <c r="H18" s="34"/>
      <c r="I18" s="35"/>
      <c r="J18" s="147" cm="1">
        <f t="array" ref="J18">J17+G18</f>
        <v>889196.38</v>
      </c>
    </row>
    <row r="19" ht="13.55" customHeight="1">
      <c r="A19" s="9"/>
      <c r="B19" s="112">
        <v>45917</v>
      </c>
      <c r="C19" s="98">
        <v>2467</v>
      </c>
      <c r="D19" t="s" s="19">
        <v>367</v>
      </c>
      <c r="E19" t="s" s="80">
        <v>60</v>
      </c>
      <c r="F19" t="s" s="80">
        <v>154</v>
      </c>
      <c r="G19" s="34">
        <v>500</v>
      </c>
      <c r="H19" s="34"/>
      <c r="I19" s="35"/>
      <c r="J19" s="147" cm="1">
        <f t="array" ref="J19">J18+G19</f>
        <v>889696.38</v>
      </c>
    </row>
    <row r="20" ht="13.55" customHeight="1">
      <c r="A20" s="9"/>
      <c r="B20" s="112">
        <v>45917</v>
      </c>
      <c r="C20" s="98"/>
      <c r="D20" t="s" s="19">
        <v>367</v>
      </c>
      <c r="E20" t="s" s="80">
        <v>60</v>
      </c>
      <c r="F20" t="s" s="80">
        <v>73</v>
      </c>
      <c r="G20" s="34">
        <v>0</v>
      </c>
      <c r="H20" s="34">
        <v>1000</v>
      </c>
      <c r="I20" s="35"/>
      <c r="J20" s="147" cm="1">
        <f t="array" ref="J20">J19+H20</f>
        <v>890696.38</v>
      </c>
    </row>
    <row r="21" ht="13.55" customHeight="1">
      <c r="A21" s="9"/>
      <c r="B21" s="112">
        <v>45917</v>
      </c>
      <c r="C21" s="98">
        <v>2468</v>
      </c>
      <c r="D21" t="s" s="19">
        <v>367</v>
      </c>
      <c r="E21" t="s" s="80">
        <v>60</v>
      </c>
      <c r="F21" t="s" s="80">
        <v>121</v>
      </c>
      <c r="G21" s="34">
        <v>1000</v>
      </c>
      <c r="H21" s="34"/>
      <c r="I21" s="35"/>
      <c r="J21" s="147" cm="1">
        <f t="array" ref="J21">J20+G21</f>
        <v>891696.38</v>
      </c>
    </row>
    <row r="22" ht="13.55" customHeight="1">
      <c r="A22" s="9"/>
      <c r="B22" s="112">
        <v>45918</v>
      </c>
      <c r="C22" s="98"/>
      <c r="D22" t="s" s="19">
        <v>367</v>
      </c>
      <c r="E22" t="s" s="80">
        <v>90</v>
      </c>
      <c r="F22" t="s" s="80">
        <v>178</v>
      </c>
      <c r="G22" s="34"/>
      <c r="H22" s="34">
        <v>6500.9</v>
      </c>
      <c r="I22" s="35"/>
      <c r="J22" s="147" cm="1">
        <f t="array" ref="J22">J21+H22</f>
        <v>898197.28</v>
      </c>
    </row>
    <row r="23" ht="13.55" customHeight="1">
      <c r="A23" s="9"/>
      <c r="B23" s="112">
        <v>45919</v>
      </c>
      <c r="C23" s="98">
        <v>2470</v>
      </c>
      <c r="D23" t="s" s="19">
        <v>367</v>
      </c>
      <c r="E23" t="s" s="80">
        <v>60</v>
      </c>
      <c r="F23" t="s" s="80">
        <v>179</v>
      </c>
      <c r="G23" s="34">
        <v>1500</v>
      </c>
      <c r="H23" s="34"/>
      <c r="I23" s="35"/>
      <c r="J23" s="147" cm="1">
        <f t="array" ref="J23">J22+G23</f>
        <v>899697.28</v>
      </c>
    </row>
    <row r="24" ht="13.55" customHeight="1">
      <c r="A24" s="9"/>
      <c r="B24" s="112">
        <v>45922</v>
      </c>
      <c r="C24" s="98"/>
      <c r="D24" t="s" s="19">
        <v>367</v>
      </c>
      <c r="E24" t="s" s="80">
        <v>60</v>
      </c>
      <c r="F24" t="s" s="80">
        <v>180</v>
      </c>
      <c r="G24" t="s" s="80">
        <v>8</v>
      </c>
      <c r="H24" s="34">
        <v>6000</v>
      </c>
      <c r="I24" s="35"/>
      <c r="J24" s="147" cm="1">
        <f t="array" ref="J24">J23+H24</f>
        <v>905697.28</v>
      </c>
    </row>
    <row r="25" ht="13.55" customHeight="1">
      <c r="A25" s="9"/>
      <c r="B25" s="112">
        <v>45922</v>
      </c>
      <c r="C25" s="98"/>
      <c r="D25" t="s" s="19">
        <v>367</v>
      </c>
      <c r="E25" t="s" s="80">
        <v>181</v>
      </c>
      <c r="F25" t="s" s="80">
        <v>182</v>
      </c>
      <c r="G25" s="34">
        <v>5000</v>
      </c>
      <c r="H25" s="34"/>
      <c r="I25" s="35"/>
      <c r="J25" s="147" cm="1">
        <f t="array" ref="J25">J24+G25</f>
        <v>910697.28</v>
      </c>
    </row>
    <row r="26" ht="13.55" customHeight="1">
      <c r="A26" s="9"/>
      <c r="B26" s="112"/>
      <c r="C26" s="98"/>
      <c r="D26" s="98"/>
      <c r="E26" s="35"/>
      <c r="F26" s="35"/>
      <c r="G26" s="34"/>
      <c r="H26" s="34"/>
      <c r="I26" s="35"/>
      <c r="J26" t="s" s="176">
        <v>8</v>
      </c>
    </row>
    <row r="27" ht="13.55" customHeight="1">
      <c r="A27" s="9"/>
      <c r="B27" s="112"/>
      <c r="C27" s="98"/>
      <c r="D27" s="98"/>
      <c r="E27" s="35"/>
      <c r="F27" s="35"/>
      <c r="G27" s="34"/>
      <c r="H27" s="34"/>
      <c r="I27" s="35"/>
      <c r="J27" t="s" s="176">
        <v>8</v>
      </c>
    </row>
    <row r="28" ht="13.55" customHeight="1">
      <c r="A28" s="9"/>
      <c r="B28" s="112"/>
      <c r="C28" s="98"/>
      <c r="D28" s="98"/>
      <c r="E28" s="35"/>
      <c r="F28" s="35"/>
      <c r="G28" s="34"/>
      <c r="H28" s="34"/>
      <c r="I28" s="35"/>
      <c r="J28" t="s" s="176">
        <v>8</v>
      </c>
    </row>
    <row r="29" ht="13.55" customHeight="1">
      <c r="A29" s="9"/>
      <c r="B29" s="112"/>
      <c r="C29" s="98"/>
      <c r="D29" s="98"/>
      <c r="E29" s="35"/>
      <c r="F29" s="35"/>
      <c r="G29" s="34"/>
      <c r="H29" s="34"/>
      <c r="I29" s="35"/>
      <c r="J29" t="s" s="176">
        <v>8</v>
      </c>
    </row>
    <row r="30" ht="13.55" customHeight="1">
      <c r="A30" s="9"/>
      <c r="B30" s="112"/>
      <c r="C30" s="98"/>
      <c r="D30" s="98"/>
      <c r="E30" s="35"/>
      <c r="F30" s="35"/>
      <c r="G30" s="34"/>
      <c r="H30" s="34"/>
      <c r="I30" s="35"/>
      <c r="J30" t="s" s="176">
        <v>8</v>
      </c>
    </row>
    <row r="31" ht="13.55" customHeight="1">
      <c r="A31" s="7"/>
      <c r="B31" s="118"/>
      <c r="C31" s="98"/>
      <c r="D31" s="98"/>
      <c r="E31" s="35"/>
      <c r="F31" s="35"/>
      <c r="G31" s="34"/>
      <c r="H31" s="34"/>
      <c r="I31" s="35"/>
      <c r="J31" s="147"/>
    </row>
    <row r="32" ht="13.55" customHeight="1">
      <c r="A32" s="7"/>
      <c r="B32" s="118"/>
      <c r="C32" s="98"/>
      <c r="D32" s="98"/>
      <c r="E32" s="35"/>
      <c r="F32" s="35"/>
      <c r="G32" s="34"/>
      <c r="H32" s="34"/>
      <c r="I32" s="35"/>
      <c r="J32" s="147"/>
    </row>
    <row r="33" ht="13.55" customHeight="1">
      <c r="A33" s="79"/>
      <c r="B33" s="101"/>
      <c r="C33" s="98"/>
      <c r="D33" s="98"/>
      <c r="E33" s="35"/>
      <c r="F33" s="101"/>
      <c r="G33" s="34"/>
      <c r="H33" s="34"/>
      <c r="I33" s="34"/>
      <c r="J33" s="147"/>
    </row>
    <row r="34" ht="13.55" customHeight="1">
      <c r="A34" s="79"/>
      <c r="B34" s="101">
        <v>45908</v>
      </c>
      <c r="C34" s="101"/>
      <c r="D34" t="s" s="19">
        <v>368</v>
      </c>
      <c r="E34" t="s" s="80">
        <v>317</v>
      </c>
      <c r="F34" t="s" s="80">
        <v>318</v>
      </c>
      <c r="G34" s="34"/>
      <c r="H34" s="34"/>
      <c r="I34" s="34">
        <v>20880</v>
      </c>
      <c r="J34" s="147" cm="1">
        <f t="array" ref="J34">J25-I34</f>
        <v>889817.28</v>
      </c>
    </row>
    <row r="35" ht="13.55" customHeight="1">
      <c r="A35" s="79"/>
      <c r="B35" s="101">
        <v>45909</v>
      </c>
      <c r="C35" s="101"/>
      <c r="D35" t="s" s="19">
        <v>368</v>
      </c>
      <c r="E35" t="s" s="80">
        <v>319</v>
      </c>
      <c r="F35" t="s" s="80">
        <v>320</v>
      </c>
      <c r="G35" s="34"/>
      <c r="H35" s="34"/>
      <c r="I35" s="34">
        <v>196245.55</v>
      </c>
      <c r="J35" s="147" cm="1">
        <f t="array" ref="J35">J34-I35</f>
        <v>693571.73</v>
      </c>
    </row>
    <row r="36" ht="13.55" customHeight="1">
      <c r="A36" s="79"/>
      <c r="B36" s="101">
        <v>45909</v>
      </c>
      <c r="C36" s="101"/>
      <c r="D36" t="s" s="19">
        <v>368</v>
      </c>
      <c r="E36" t="s" s="80">
        <v>321</v>
      </c>
      <c r="F36" t="s" s="80">
        <v>322</v>
      </c>
      <c r="G36" s="34"/>
      <c r="H36" s="34"/>
      <c r="I36" s="34">
        <v>1100</v>
      </c>
      <c r="J36" s="147" cm="1">
        <f t="array" ref="J36">J35-I36</f>
        <v>692471.73</v>
      </c>
    </row>
    <row r="37" ht="13.55" customHeight="1">
      <c r="A37" s="79"/>
      <c r="B37" s="101">
        <v>45910</v>
      </c>
      <c r="C37" s="101"/>
      <c r="D37" t="s" s="19">
        <v>368</v>
      </c>
      <c r="E37" t="s" s="80">
        <v>323</v>
      </c>
      <c r="F37" t="s" s="80">
        <v>324</v>
      </c>
      <c r="G37" s="34"/>
      <c r="H37" s="34"/>
      <c r="I37" s="34">
        <v>5916</v>
      </c>
      <c r="J37" s="147" cm="1">
        <f t="array" ref="J37">J36-I37</f>
        <v>686555.73</v>
      </c>
    </row>
    <row r="38" ht="13.55" customHeight="1">
      <c r="A38" s="79"/>
      <c r="B38" s="101">
        <v>45915</v>
      </c>
      <c r="C38" s="101"/>
      <c r="D38" t="s" s="19">
        <v>368</v>
      </c>
      <c r="E38" t="s" s="80">
        <v>99</v>
      </c>
      <c r="F38" t="s" s="80">
        <v>235</v>
      </c>
      <c r="G38" s="34"/>
      <c r="H38" s="34"/>
      <c r="I38" s="34">
        <v>591.48</v>
      </c>
      <c r="J38" s="147" cm="1">
        <f t="array" ref="J38">J37-I38</f>
        <v>685964.25</v>
      </c>
    </row>
    <row r="39" ht="13.55" customHeight="1">
      <c r="A39" s="79"/>
      <c r="B39" s="101">
        <v>45915</v>
      </c>
      <c r="C39" s="101"/>
      <c r="D39" t="s" s="19">
        <v>368</v>
      </c>
      <c r="E39" t="s" s="80">
        <v>99</v>
      </c>
      <c r="F39" t="s" s="80">
        <v>325</v>
      </c>
      <c r="G39" s="34"/>
      <c r="H39" s="34"/>
      <c r="I39" s="34">
        <v>94.64</v>
      </c>
      <c r="J39" s="147" cm="1">
        <f t="array" ref="J39">J38-I39</f>
        <v>685869.61</v>
      </c>
    </row>
    <row r="40" ht="13.55" customHeight="1">
      <c r="A40" s="9"/>
      <c r="B40" s="112">
        <v>45915</v>
      </c>
      <c r="C40" s="101"/>
      <c r="D40" t="s" s="19">
        <v>368</v>
      </c>
      <c r="E40" t="s" s="80">
        <v>99</v>
      </c>
      <c r="F40" t="s" s="80">
        <v>282</v>
      </c>
      <c r="G40" s="34"/>
      <c r="H40" s="34"/>
      <c r="I40" s="34">
        <v>990</v>
      </c>
      <c r="J40" s="147" cm="1">
        <f t="array" ref="J40">J39-I40</f>
        <v>684879.61</v>
      </c>
    </row>
    <row r="41" ht="13.55" customHeight="1">
      <c r="A41" s="9"/>
      <c r="B41" s="112">
        <v>45915</v>
      </c>
      <c r="C41" s="101"/>
      <c r="D41" t="s" s="19">
        <v>368</v>
      </c>
      <c r="E41" t="s" s="80">
        <v>99</v>
      </c>
      <c r="F41" t="s" s="80">
        <v>274</v>
      </c>
      <c r="G41" s="34"/>
      <c r="H41" s="34"/>
      <c r="I41" s="34">
        <v>158.4</v>
      </c>
      <c r="J41" s="147" cm="1">
        <f t="array" ref="J41">J40-I41</f>
        <v>684721.21</v>
      </c>
    </row>
    <row r="42" ht="13.55" customHeight="1">
      <c r="A42" s="9"/>
      <c r="B42" s="112">
        <v>45915</v>
      </c>
      <c r="C42" s="101"/>
      <c r="D42" t="s" s="19">
        <v>368</v>
      </c>
      <c r="E42" t="s" s="80">
        <v>99</v>
      </c>
      <c r="F42" t="s" s="80">
        <v>275</v>
      </c>
      <c r="G42" s="34"/>
      <c r="H42" s="34"/>
      <c r="I42" s="34">
        <v>136.8</v>
      </c>
      <c r="J42" s="147" cm="1">
        <f t="array" ref="J42">J41-I42</f>
        <v>684584.41</v>
      </c>
    </row>
    <row r="43" ht="13.55" customHeight="1">
      <c r="A43" s="9"/>
      <c r="B43" s="112">
        <v>45915</v>
      </c>
      <c r="C43" s="101"/>
      <c r="D43" t="s" s="19">
        <v>368</v>
      </c>
      <c r="E43" t="s" s="80">
        <v>99</v>
      </c>
      <c r="F43" t="s" s="80">
        <v>276</v>
      </c>
      <c r="G43" s="34"/>
      <c r="H43" s="34"/>
      <c r="I43" s="34">
        <v>21.88</v>
      </c>
      <c r="J43" s="147" cm="1">
        <f t="array" ref="J43">J42-I43</f>
        <v>684562.53</v>
      </c>
    </row>
    <row r="44" ht="13.55" customHeight="1">
      <c r="A44" s="9"/>
      <c r="B44" s="112">
        <v>45915</v>
      </c>
      <c r="C44" s="101"/>
      <c r="D44" t="s" s="19">
        <v>368</v>
      </c>
      <c r="E44" t="s" s="80">
        <v>301</v>
      </c>
      <c r="F44" t="s" s="80">
        <v>269</v>
      </c>
      <c r="G44" s="34"/>
      <c r="H44" s="34"/>
      <c r="I44" s="34">
        <v>13502.08</v>
      </c>
      <c r="J44" s="147" cm="1">
        <f t="array" ref="J44">J43-I44</f>
        <v>671060.45</v>
      </c>
    </row>
    <row r="45" ht="13.55" customHeight="1">
      <c r="A45" s="9"/>
      <c r="B45" s="112">
        <v>45915</v>
      </c>
      <c r="C45" s="101"/>
      <c r="D45" t="s" s="19">
        <v>368</v>
      </c>
      <c r="E45" t="s" s="80">
        <v>99</v>
      </c>
      <c r="F45" t="s" s="80">
        <v>326</v>
      </c>
      <c r="G45" s="34"/>
      <c r="H45" s="34"/>
      <c r="I45" s="34">
        <v>11.6</v>
      </c>
      <c r="J45" s="147" cm="1">
        <f t="array" ref="J45">J44-I45</f>
        <v>671048.85</v>
      </c>
    </row>
    <row r="46" ht="13.55" customHeight="1">
      <c r="A46" s="9"/>
      <c r="B46" s="112">
        <v>45915</v>
      </c>
      <c r="C46" s="101"/>
      <c r="D46" t="s" s="19">
        <v>368</v>
      </c>
      <c r="E46" t="s" s="80">
        <v>301</v>
      </c>
      <c r="F46" t="s" s="80">
        <v>269</v>
      </c>
      <c r="G46" s="34"/>
      <c r="H46" s="34"/>
      <c r="I46" s="34">
        <v>13501.98</v>
      </c>
      <c r="J46" s="147" cm="1">
        <f t="array" ref="J46">J45-I46</f>
        <v>657546.87</v>
      </c>
    </row>
    <row r="47" ht="13.55" customHeight="1">
      <c r="A47" s="9"/>
      <c r="B47" s="112">
        <v>45915</v>
      </c>
      <c r="C47" s="101"/>
      <c r="D47" t="s" s="19">
        <v>368</v>
      </c>
      <c r="E47" t="s" s="80">
        <v>99</v>
      </c>
      <c r="F47" t="s" s="80">
        <v>288</v>
      </c>
      <c r="G47" s="34"/>
      <c r="H47" s="34"/>
      <c r="I47" s="34">
        <v>11.6</v>
      </c>
      <c r="J47" s="147" cm="1">
        <f t="array" ref="J47">J46-I47</f>
        <v>657535.27</v>
      </c>
    </row>
    <row r="48" ht="13.55" customHeight="1">
      <c r="A48" s="9"/>
      <c r="B48" s="112">
        <v>45915</v>
      </c>
      <c r="C48" s="101"/>
      <c r="D48" t="s" s="19">
        <v>368</v>
      </c>
      <c r="E48" t="s" s="80">
        <v>327</v>
      </c>
      <c r="F48" t="s" s="80">
        <v>328</v>
      </c>
      <c r="G48" s="34"/>
      <c r="H48" s="34"/>
      <c r="I48" s="34">
        <v>15080</v>
      </c>
      <c r="J48" s="147" cm="1">
        <f t="array" ref="J48">J47-I48</f>
        <v>642455.27</v>
      </c>
    </row>
    <row r="49" ht="13.55" customHeight="1">
      <c r="A49" s="9"/>
      <c r="B49" s="112">
        <v>45915</v>
      </c>
      <c r="C49" s="101"/>
      <c r="D49" t="s" s="19">
        <v>368</v>
      </c>
      <c r="E49" t="s" s="80">
        <v>181</v>
      </c>
      <c r="F49" t="s" s="80">
        <v>329</v>
      </c>
      <c r="G49" s="34"/>
      <c r="H49" s="34"/>
      <c r="I49" s="34">
        <v>4660</v>
      </c>
      <c r="J49" s="147" cm="1">
        <f t="array" ref="J49">J48-I49</f>
        <v>637795.27</v>
      </c>
    </row>
    <row r="50" ht="13.55" customHeight="1">
      <c r="A50" s="9"/>
      <c r="B50" s="112">
        <v>45915</v>
      </c>
      <c r="C50" s="101"/>
      <c r="D50" t="s" s="19">
        <v>368</v>
      </c>
      <c r="E50" t="s" s="80">
        <v>181</v>
      </c>
      <c r="F50" t="s" s="80">
        <v>330</v>
      </c>
      <c r="G50" s="34"/>
      <c r="H50" s="34"/>
      <c r="I50" s="34">
        <v>5000</v>
      </c>
      <c r="J50" s="147" cm="1">
        <f t="array" ref="J50">J49-I50</f>
        <v>632795.27</v>
      </c>
    </row>
    <row r="51" ht="13.55" customHeight="1">
      <c r="A51" s="9"/>
      <c r="B51" s="112">
        <v>45919</v>
      </c>
      <c r="C51" s="101"/>
      <c r="D51" t="s" s="19">
        <v>368</v>
      </c>
      <c r="E51" t="s" s="80">
        <v>331</v>
      </c>
      <c r="F51" t="s" s="80">
        <v>332</v>
      </c>
      <c r="G51" s="34"/>
      <c r="H51" s="34"/>
      <c r="I51" s="34">
        <v>6380</v>
      </c>
      <c r="J51" s="147" cm="1">
        <f t="array" ref="J51">J50-I51</f>
        <v>626415.27</v>
      </c>
    </row>
    <row r="52" ht="13.55" customHeight="1">
      <c r="A52" s="9"/>
      <c r="B52" s="112">
        <v>45919</v>
      </c>
      <c r="C52" s="101"/>
      <c r="D52" t="s" s="19">
        <v>368</v>
      </c>
      <c r="E52" t="s" s="80">
        <v>317</v>
      </c>
      <c r="F52" s="35"/>
      <c r="G52" s="34"/>
      <c r="H52" s="34"/>
      <c r="I52" s="34">
        <v>20880</v>
      </c>
      <c r="J52" s="147" cm="1">
        <f t="array" ref="J52">J51-I52</f>
        <v>605535.27</v>
      </c>
    </row>
    <row r="53" ht="13.55" customHeight="1">
      <c r="A53" s="9"/>
      <c r="B53" s="112">
        <v>45924</v>
      </c>
      <c r="C53" s="101"/>
      <c r="D53" t="s" s="19">
        <v>368</v>
      </c>
      <c r="E53" t="s" s="80">
        <v>333</v>
      </c>
      <c r="F53" t="s" s="80">
        <v>334</v>
      </c>
      <c r="G53" s="34"/>
      <c r="H53" s="34"/>
      <c r="I53" s="34">
        <v>9869.84</v>
      </c>
      <c r="J53" s="147" cm="1">
        <f t="array" ref="J53">J52-I53</f>
        <v>595665.4300000001</v>
      </c>
    </row>
    <row r="54" ht="13.55" customHeight="1">
      <c r="A54" s="9"/>
      <c r="B54" s="112">
        <v>45925</v>
      </c>
      <c r="C54" s="101"/>
      <c r="D54" t="s" s="19">
        <v>368</v>
      </c>
      <c r="E54" t="s" s="80">
        <v>335</v>
      </c>
      <c r="F54" t="s" s="80">
        <v>336</v>
      </c>
      <c r="G54" s="34"/>
      <c r="H54" s="34"/>
      <c r="I54" s="34">
        <v>7076</v>
      </c>
      <c r="J54" s="147" cm="1">
        <f t="array" ref="J54">J53-I54</f>
        <v>588589.4300000001</v>
      </c>
    </row>
    <row r="55" ht="13.55" customHeight="1">
      <c r="A55" s="9"/>
      <c r="B55" s="112">
        <v>45925</v>
      </c>
      <c r="C55" s="101"/>
      <c r="D55" t="s" s="19">
        <v>368</v>
      </c>
      <c r="E55" t="s" s="80">
        <v>337</v>
      </c>
      <c r="F55" t="s" s="80">
        <v>338</v>
      </c>
      <c r="G55" s="34"/>
      <c r="H55" s="34"/>
      <c r="I55" s="34">
        <v>17400</v>
      </c>
      <c r="J55" s="147" cm="1">
        <f t="array" ref="J55">J54-I55</f>
        <v>571189.4300000001</v>
      </c>
    </row>
    <row r="56" ht="13.55" customHeight="1">
      <c r="A56" s="9"/>
      <c r="B56" s="112">
        <v>45929</v>
      </c>
      <c r="C56" s="101"/>
      <c r="D56" t="s" s="19">
        <v>368</v>
      </c>
      <c r="E56" t="s" s="80">
        <v>339</v>
      </c>
      <c r="F56" t="s" s="80">
        <v>340</v>
      </c>
      <c r="G56" s="34"/>
      <c r="H56" s="34"/>
      <c r="I56" s="34">
        <v>4988</v>
      </c>
      <c r="J56" s="147" cm="1">
        <f t="array" ref="J56">J55-I56</f>
        <v>566201.4300000001</v>
      </c>
    </row>
    <row r="57" ht="13.55" customHeight="1">
      <c r="A57" s="9"/>
      <c r="B57" s="112">
        <v>45929</v>
      </c>
      <c r="C57" s="101"/>
      <c r="D57" t="s" s="19">
        <v>368</v>
      </c>
      <c r="E57" t="s" s="80">
        <v>301</v>
      </c>
      <c r="F57" t="s" s="80">
        <v>269</v>
      </c>
      <c r="G57" s="34"/>
      <c r="H57" s="34"/>
      <c r="I57" s="34">
        <v>13502.08</v>
      </c>
      <c r="J57" s="147" cm="1">
        <f t="array" ref="J57">J56-I57</f>
        <v>552699.35</v>
      </c>
    </row>
    <row r="58" ht="13.55" customHeight="1">
      <c r="A58" s="9"/>
      <c r="B58" s="112">
        <v>45929</v>
      </c>
      <c r="C58" s="101"/>
      <c r="D58" t="s" s="19">
        <v>368</v>
      </c>
      <c r="E58" t="s" s="80">
        <v>99</v>
      </c>
      <c r="F58" t="s" s="80">
        <v>288</v>
      </c>
      <c r="G58" s="34"/>
      <c r="H58" s="34"/>
      <c r="I58" s="34">
        <v>11.6</v>
      </c>
      <c r="J58" s="147" cm="1">
        <f t="array" ref="J58">J57-I58</f>
        <v>552687.75</v>
      </c>
    </row>
    <row r="59" ht="13.55" customHeight="1">
      <c r="A59" s="9"/>
      <c r="B59" s="112"/>
      <c r="C59" s="101"/>
      <c r="D59" s="101"/>
      <c r="E59" s="35"/>
      <c r="F59" s="35"/>
      <c r="G59" s="34"/>
      <c r="H59" s="34"/>
      <c r="I59" s="34"/>
      <c r="J59" t="s" s="176">
        <v>8</v>
      </c>
    </row>
    <row r="60" ht="13.55" customHeight="1">
      <c r="A60" s="9"/>
      <c r="B60" s="112"/>
      <c r="C60" s="101"/>
      <c r="D60" s="101"/>
      <c r="E60" s="35"/>
      <c r="F60" s="35"/>
      <c r="G60" s="34"/>
      <c r="H60" s="34"/>
      <c r="I60" s="34"/>
      <c r="J60" t="s" s="176">
        <v>8</v>
      </c>
    </row>
    <row r="61" ht="13.55" customHeight="1">
      <c r="A61" s="9"/>
      <c r="B61" s="112"/>
      <c r="C61" s="35"/>
      <c r="D61" s="35"/>
      <c r="E61" s="34"/>
      <c r="F61" s="35"/>
      <c r="G61" s="34" cm="1">
        <f t="array" ref="G61">SUM(G7:G60)</f>
        <v>94751.08</v>
      </c>
      <c r="H61" s="34" cm="1">
        <f t="array" ref="H61">SUM(H7:H60)</f>
        <v>17500.9</v>
      </c>
      <c r="I61" s="34" cm="1">
        <f t="array" ref="I61">SUM(I34:I60)</f>
        <v>358009.53</v>
      </c>
      <c r="J61" s="147"/>
    </row>
    <row r="62" ht="15.75" customHeight="1">
      <c r="A62" s="9"/>
      <c r="B62" s="112"/>
      <c r="C62" s="35"/>
      <c r="D62" s="35"/>
      <c r="E62" s="34"/>
      <c r="F62" s="35"/>
      <c r="G62" s="34" cm="1">
        <f t="array" ref="G62">G61+H61</f>
        <v>112251.98</v>
      </c>
      <c r="H62" s="150"/>
      <c r="I62" s="150"/>
      <c r="J62" s="151"/>
    </row>
    <row r="63" ht="14.05" customHeight="1">
      <c r="A63" s="9"/>
      <c r="B63" s="177"/>
      <c r="C63" s="22"/>
      <c r="D63" s="22"/>
      <c r="E63" t="s" s="23">
        <v>8</v>
      </c>
      <c r="F63" s="196">
        <v>0</v>
      </c>
      <c r="G63" t="s" s="24">
        <v>8</v>
      </c>
      <c r="H63" t="s" s="153">
        <v>371</v>
      </c>
      <c r="I63" t="s" s="154">
        <v>8</v>
      </c>
      <c r="J63" t="s" s="155">
        <v>372</v>
      </c>
    </row>
    <row r="64" ht="13.55" customHeight="1">
      <c r="A64" s="9"/>
      <c r="B64" s="178"/>
      <c r="C64" s="7"/>
      <c r="D64" s="7"/>
      <c r="E64" t="s" s="185">
        <v>373</v>
      </c>
      <c r="F64" s="186">
        <v>0</v>
      </c>
      <c r="G64" t="s" s="187">
        <v>8</v>
      </c>
      <c r="H64" t="s" s="25">
        <v>374</v>
      </c>
      <c r="I64" s="157">
        <v>0</v>
      </c>
      <c r="J64" s="158">
        <v>0</v>
      </c>
    </row>
    <row r="65" ht="13.55" customHeight="1">
      <c r="A65" s="9"/>
      <c r="B65" s="178"/>
      <c r="C65" s="7"/>
      <c r="D65" s="7"/>
      <c r="E65" t="s" s="26">
        <v>375</v>
      </c>
      <c r="F65" s="188">
        <v>0</v>
      </c>
      <c r="G65" t="s" s="156">
        <v>8</v>
      </c>
      <c r="H65" t="s" s="159">
        <v>376</v>
      </c>
      <c r="I65" s="160">
        <v>0</v>
      </c>
      <c r="J65" s="161">
        <v>0</v>
      </c>
    </row>
    <row r="66" ht="13.55" customHeight="1">
      <c r="A66" s="9"/>
      <c r="B66" s="178"/>
      <c r="C66" s="7"/>
      <c r="D66" s="7"/>
      <c r="E66" t="s" s="26">
        <v>377</v>
      </c>
      <c r="F66" s="157">
        <v>0</v>
      </c>
      <c r="G66" t="s" s="156">
        <v>8</v>
      </c>
      <c r="H66" t="s" s="159">
        <v>378</v>
      </c>
      <c r="I66" s="160">
        <v>0</v>
      </c>
      <c r="J66" t="s" s="162">
        <v>8</v>
      </c>
    </row>
    <row r="67" ht="13.55" customHeight="1">
      <c r="A67" s="9"/>
      <c r="B67" s="178"/>
      <c r="C67" s="7"/>
      <c r="D67" s="7"/>
      <c r="E67" t="s" s="185">
        <v>57</v>
      </c>
      <c r="F67" s="186">
        <v>0</v>
      </c>
      <c r="G67" t="s" s="187">
        <v>8</v>
      </c>
      <c r="H67" t="s" s="159">
        <v>380</v>
      </c>
      <c r="I67" s="160">
        <v>0</v>
      </c>
      <c r="J67" s="163"/>
    </row>
    <row r="68" ht="13.55" customHeight="1">
      <c r="A68" s="9"/>
      <c r="B68" s="178"/>
      <c r="C68" s="7"/>
      <c r="D68" s="7"/>
      <c r="E68" t="s" s="185">
        <v>381</v>
      </c>
      <c r="F68" s="186">
        <v>0</v>
      </c>
      <c r="G68" t="s" s="187">
        <v>8</v>
      </c>
      <c r="H68" t="s" s="25">
        <v>8</v>
      </c>
      <c r="I68" s="164"/>
      <c r="J68" s="158"/>
    </row>
    <row r="69" ht="15.75" customHeight="1">
      <c r="A69" s="9"/>
      <c r="B69" s="178"/>
      <c r="C69" s="7"/>
      <c r="D69" s="7"/>
      <c r="E69" t="s" s="26">
        <v>384</v>
      </c>
      <c r="F69" s="188">
        <v>0</v>
      </c>
      <c r="G69" t="s" s="156">
        <v>8</v>
      </c>
      <c r="H69" t="s" s="165">
        <v>8</v>
      </c>
      <c r="I69" s="166" cm="1">
        <f t="array" ref="I69">I67+I66+I65+I64</f>
        <v>0</v>
      </c>
      <c r="J69" s="167" cm="1">
        <f t="array" ref="J69">J65+J64</f>
        <v>0</v>
      </c>
    </row>
    <row r="70" ht="14.05" customHeight="1">
      <c r="A70" s="9"/>
      <c r="B70" s="178"/>
      <c r="C70" s="7"/>
      <c r="D70" s="7"/>
      <c r="E70" t="s" s="26">
        <v>395</v>
      </c>
      <c r="F70" s="144">
        <v>0</v>
      </c>
      <c r="G70" t="s" s="26">
        <v>8</v>
      </c>
      <c r="H70" t="s" s="168">
        <v>8</v>
      </c>
      <c r="I70" s="78"/>
      <c r="J70" s="169"/>
    </row>
    <row r="71" ht="15.75" customHeight="1">
      <c r="A71" s="9"/>
      <c r="B71" s="179"/>
      <c r="C71" s="8"/>
      <c r="D71" s="8"/>
      <c r="E71" t="s" s="192">
        <v>396</v>
      </c>
      <c r="F71" s="170">
        <v>0</v>
      </c>
      <c r="G71" t="s" s="192">
        <v>8</v>
      </c>
      <c r="H71" s="170"/>
      <c r="I71" s="8"/>
      <c r="J71" s="17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J71"/>
  <sheetViews>
    <sheetView workbookViewId="0" showGridLines="0" defaultGridColor="1"/>
  </sheetViews>
  <sheetFormatPr defaultColWidth="10.8333" defaultRowHeight="15" customHeight="1" outlineLevelRow="0" outlineLevelCol="0"/>
  <cols>
    <col min="1" max="4" width="10.8516" style="202" customWidth="1"/>
    <col min="5" max="5" width="39.3516" style="202" customWidth="1"/>
    <col min="6" max="6" width="40.5" style="202" customWidth="1"/>
    <col min="7" max="7" width="13.6719" style="202" customWidth="1"/>
    <col min="8" max="8" width="10.8516" style="202" customWidth="1"/>
    <col min="9" max="9" width="15.5" style="202" customWidth="1"/>
    <col min="10" max="10" width="19" style="202" customWidth="1"/>
    <col min="11" max="16384" width="10.8516" style="202" customWidth="1"/>
  </cols>
  <sheetData>
    <row r="1" ht="15.75" customHeight="1">
      <c r="A1" s="7"/>
      <c r="B1" s="8"/>
      <c r="C1" s="8"/>
      <c r="D1" s="8"/>
      <c r="E1" s="8"/>
      <c r="F1" s="8"/>
      <c r="G1" s="8"/>
      <c r="H1" s="8"/>
      <c r="I1" s="8"/>
      <c r="J1" s="8"/>
    </row>
    <row r="2" ht="18" customHeight="1">
      <c r="A2" s="9"/>
      <c r="B2" t="s" s="107">
        <v>77</v>
      </c>
      <c r="C2" s="108"/>
      <c r="D2" s="108"/>
      <c r="E2" s="85"/>
      <c r="F2" s="84"/>
      <c r="G2" s="84"/>
      <c r="H2" s="84"/>
      <c r="I2" s="85"/>
      <c r="J2" s="146"/>
    </row>
    <row r="3" ht="18" customHeight="1">
      <c r="A3" s="9"/>
      <c r="B3" t="s" s="86">
        <v>183</v>
      </c>
      <c r="C3" s="87"/>
      <c r="D3" s="87"/>
      <c r="E3" s="88"/>
      <c r="F3" s="88"/>
      <c r="G3" s="88"/>
      <c r="H3" s="113"/>
      <c r="I3" s="88"/>
      <c r="J3" s="147"/>
    </row>
    <row r="4" ht="16.5" customHeight="1">
      <c r="A4" s="9"/>
      <c r="B4" s="110"/>
      <c r="C4" s="89"/>
      <c r="D4" s="89"/>
      <c r="E4" t="s" s="90">
        <v>78</v>
      </c>
      <c r="F4" t="s" s="90">
        <v>52</v>
      </c>
      <c r="G4" s="89"/>
      <c r="H4" t="s" s="90">
        <v>53</v>
      </c>
      <c r="I4" t="s" s="90">
        <v>53</v>
      </c>
      <c r="J4" t="s" s="148">
        <v>53</v>
      </c>
    </row>
    <row r="5" ht="33" customHeight="1">
      <c r="A5" s="9"/>
      <c r="B5" t="s" s="111">
        <v>79</v>
      </c>
      <c r="C5" t="s" s="90">
        <v>54</v>
      </c>
      <c r="D5" t="s" s="90">
        <v>364</v>
      </c>
      <c r="E5" s="114">
        <v>12061001385</v>
      </c>
      <c r="F5" t="s" s="90">
        <v>55</v>
      </c>
      <c r="G5" t="s" s="90">
        <v>8</v>
      </c>
      <c r="H5" t="s" s="90">
        <v>109</v>
      </c>
      <c r="I5" t="s" s="90">
        <v>365</v>
      </c>
      <c r="J5" t="s" s="148">
        <v>366</v>
      </c>
    </row>
    <row r="6" ht="16.5" customHeight="1">
      <c r="A6" s="9"/>
      <c r="B6" t="s" s="111">
        <v>8</v>
      </c>
      <c r="C6" t="s" s="94">
        <v>58</v>
      </c>
      <c r="D6" s="149"/>
      <c r="E6" t="s" s="95">
        <v>8</v>
      </c>
      <c r="F6" s="89"/>
      <c r="G6" t="s" s="96">
        <v>59</v>
      </c>
      <c r="H6" s="97"/>
      <c r="I6" t="s" s="90">
        <v>8</v>
      </c>
      <c r="J6" s="147">
        <v>552223.75</v>
      </c>
    </row>
    <row r="7" ht="13.55" customHeight="1">
      <c r="A7" s="9"/>
      <c r="B7" s="112">
        <v>45931</v>
      </c>
      <c r="C7" s="98"/>
      <c r="D7" t="s" s="19">
        <v>367</v>
      </c>
      <c r="E7" t="s" s="80">
        <v>60</v>
      </c>
      <c r="F7" t="s" s="80">
        <v>184</v>
      </c>
      <c r="G7" s="34"/>
      <c r="H7" s="34">
        <v>500</v>
      </c>
      <c r="I7" s="35"/>
      <c r="J7" s="147" cm="1">
        <f t="array" ref="J7">J6+H7</f>
        <v>552723.75</v>
      </c>
    </row>
    <row r="8" ht="13.55" customHeight="1">
      <c r="A8" s="9"/>
      <c r="B8" s="112">
        <v>45936</v>
      </c>
      <c r="C8" s="98">
        <v>2571</v>
      </c>
      <c r="D8" t="s" s="19">
        <v>367</v>
      </c>
      <c r="E8" t="s" s="80">
        <v>60</v>
      </c>
      <c r="F8" t="s" s="80">
        <v>165</v>
      </c>
      <c r="G8" s="34">
        <v>500</v>
      </c>
      <c r="H8" s="34"/>
      <c r="I8" s="35"/>
      <c r="J8" s="147" cm="1">
        <f t="array" ref="J8">J7+G8</f>
        <v>553223.75</v>
      </c>
    </row>
    <row r="9" ht="13.55" customHeight="1">
      <c r="A9" s="9"/>
      <c r="B9" s="112">
        <v>45938</v>
      </c>
      <c r="C9" s="117">
        <v>2572</v>
      </c>
      <c r="D9" t="s" s="19">
        <v>367</v>
      </c>
      <c r="E9" t="s" s="80">
        <v>60</v>
      </c>
      <c r="F9" t="s" s="80">
        <v>154</v>
      </c>
      <c r="G9" s="34">
        <v>500</v>
      </c>
      <c r="H9" s="34"/>
      <c r="I9" s="35"/>
      <c r="J9" s="147" cm="1">
        <f t="array" ref="J9">J8+G9</f>
        <v>553723.75</v>
      </c>
    </row>
    <row r="10" ht="13.55" customHeight="1">
      <c r="A10" s="9"/>
      <c r="B10" s="112">
        <v>45943</v>
      </c>
      <c r="C10" s="98"/>
      <c r="D10" t="s" s="19">
        <v>367</v>
      </c>
      <c r="E10" t="s" s="80">
        <v>60</v>
      </c>
      <c r="F10" t="s" s="80">
        <v>112</v>
      </c>
      <c r="G10" s="34"/>
      <c r="H10" s="34">
        <v>500</v>
      </c>
      <c r="I10" s="35"/>
      <c r="J10" s="147" cm="1">
        <f t="array" ref="J10">J9+H10</f>
        <v>554223.75</v>
      </c>
    </row>
    <row r="11" ht="13.55" customHeight="1">
      <c r="A11" s="9"/>
      <c r="B11" s="112">
        <v>45945</v>
      </c>
      <c r="C11" s="98">
        <v>2573</v>
      </c>
      <c r="D11" t="s" s="19">
        <v>367</v>
      </c>
      <c r="E11" t="s" s="80">
        <v>60</v>
      </c>
      <c r="F11" t="s" s="80">
        <v>140</v>
      </c>
      <c r="G11" s="34">
        <v>500</v>
      </c>
      <c r="H11" s="34"/>
      <c r="I11" s="35"/>
      <c r="J11" s="147" cm="1">
        <f t="array" ref="J11">J10+G11</f>
        <v>554723.75</v>
      </c>
    </row>
    <row r="12" ht="13.55" customHeight="1">
      <c r="A12" s="9"/>
      <c r="B12" s="112">
        <v>45945</v>
      </c>
      <c r="C12" s="98">
        <v>2574</v>
      </c>
      <c r="D12" t="s" s="19">
        <v>367</v>
      </c>
      <c r="E12" t="s" s="80">
        <v>60</v>
      </c>
      <c r="F12" t="s" s="80">
        <v>121</v>
      </c>
      <c r="G12" s="34">
        <v>1000</v>
      </c>
      <c r="H12" s="34"/>
      <c r="I12" s="35"/>
      <c r="J12" s="147" cm="1">
        <f t="array" ref="J12">J11+G12</f>
        <v>555723.75</v>
      </c>
    </row>
    <row r="13" ht="13.55" customHeight="1">
      <c r="A13" s="9"/>
      <c r="B13" s="112">
        <v>45947</v>
      </c>
      <c r="C13" s="100"/>
      <c r="D13" t="s" s="19">
        <v>367</v>
      </c>
      <c r="E13" t="s" s="80">
        <v>99</v>
      </c>
      <c r="F13" t="s" s="80">
        <v>167</v>
      </c>
      <c r="G13" s="34">
        <v>47300</v>
      </c>
      <c r="H13" s="34"/>
      <c r="I13" s="35"/>
      <c r="J13" s="147" cm="1">
        <f t="array" ref="J13">J12+G13</f>
        <v>603023.75</v>
      </c>
    </row>
    <row r="14" ht="13.55" customHeight="1">
      <c r="A14" s="9"/>
      <c r="B14" s="112">
        <v>45947</v>
      </c>
      <c r="C14" s="98"/>
      <c r="D14" t="s" s="19">
        <v>367</v>
      </c>
      <c r="E14" t="s" s="80">
        <v>99</v>
      </c>
      <c r="F14" t="s" s="80">
        <v>185</v>
      </c>
      <c r="G14" s="34">
        <v>7200</v>
      </c>
      <c r="H14" s="34"/>
      <c r="I14" s="35"/>
      <c r="J14" s="147" cm="1">
        <f t="array" ref="J14">J13+G14</f>
        <v>610223.75</v>
      </c>
    </row>
    <row r="15" ht="13.55" customHeight="1">
      <c r="A15" s="9"/>
      <c r="B15" s="112">
        <v>45947</v>
      </c>
      <c r="C15" s="18"/>
      <c r="D15" t="s" s="19">
        <v>367</v>
      </c>
      <c r="E15" t="s" s="80">
        <v>99</v>
      </c>
      <c r="F15" t="s" s="80">
        <v>100</v>
      </c>
      <c r="G15" s="34">
        <v>19550</v>
      </c>
      <c r="H15" s="34"/>
      <c r="I15" s="35"/>
      <c r="J15" s="147" cm="1">
        <f t="array" ref="J15">J14+G15</f>
        <v>629773.75</v>
      </c>
    </row>
    <row r="16" ht="13.55" customHeight="1">
      <c r="A16" s="9"/>
      <c r="B16" s="112">
        <v>45950</v>
      </c>
      <c r="C16" s="18"/>
      <c r="D16" t="s" s="19">
        <v>367</v>
      </c>
      <c r="E16" t="s" s="80">
        <v>60</v>
      </c>
      <c r="F16" s="35"/>
      <c r="G16" s="34"/>
      <c r="H16" s="34">
        <v>500</v>
      </c>
      <c r="I16" s="35"/>
      <c r="J16" s="147" cm="1">
        <f t="array" ref="J16">J15+H16</f>
        <v>630273.75</v>
      </c>
    </row>
    <row r="17" ht="13.55" customHeight="1">
      <c r="A17" s="9"/>
      <c r="B17" s="112">
        <v>45950</v>
      </c>
      <c r="C17" s="123"/>
      <c r="D17" t="s" s="19">
        <v>367</v>
      </c>
      <c r="E17" t="s" s="80">
        <v>60</v>
      </c>
      <c r="F17" t="s" s="80">
        <v>162</v>
      </c>
      <c r="G17" s="34">
        <v>1500</v>
      </c>
      <c r="H17" s="34"/>
      <c r="I17" s="35"/>
      <c r="J17" s="147" cm="1">
        <f t="array" ref="J17">J16+G17</f>
        <v>631773.75</v>
      </c>
    </row>
    <row r="18" ht="13.55" customHeight="1">
      <c r="A18" s="9"/>
      <c r="B18" s="112">
        <v>45950</v>
      </c>
      <c r="C18" s="98"/>
      <c r="D18" t="s" s="19">
        <v>367</v>
      </c>
      <c r="E18" t="s" s="80">
        <v>60</v>
      </c>
      <c r="F18" t="s" s="80">
        <v>150</v>
      </c>
      <c r="G18" s="34"/>
      <c r="H18" s="34">
        <v>1000</v>
      </c>
      <c r="I18" s="35"/>
      <c r="J18" s="147" cm="1">
        <f t="array" ref="J18">J17+H18</f>
        <v>632773.75</v>
      </c>
    </row>
    <row r="19" ht="13.55" customHeight="1">
      <c r="A19" s="9"/>
      <c r="B19" s="112">
        <v>45951</v>
      </c>
      <c r="C19" s="98"/>
      <c r="D19" t="s" s="19">
        <v>367</v>
      </c>
      <c r="E19" t="s" s="80">
        <v>60</v>
      </c>
      <c r="F19" t="s" s="80">
        <v>112</v>
      </c>
      <c r="G19" s="34"/>
      <c r="H19" s="34">
        <v>500</v>
      </c>
      <c r="I19" s="35"/>
      <c r="J19" s="147" cm="1">
        <f t="array" ref="J19">J18+H19</f>
        <v>633273.75</v>
      </c>
    </row>
    <row r="20" ht="13.55" customHeight="1">
      <c r="A20" s="9"/>
      <c r="B20" s="112"/>
      <c r="C20" s="98"/>
      <c r="D20" t="s" s="19">
        <v>367</v>
      </c>
      <c r="E20" s="35"/>
      <c r="F20" s="35"/>
      <c r="G20" s="34"/>
      <c r="H20" s="34"/>
      <c r="I20" s="35"/>
      <c r="J20" s="147" cm="1">
        <f t="array" ref="J20">J19+G20</f>
        <v>633273.75</v>
      </c>
    </row>
    <row r="21" ht="13.55" customHeight="1">
      <c r="A21" s="9"/>
      <c r="B21" s="112"/>
      <c r="C21" s="98"/>
      <c r="D21" s="98"/>
      <c r="E21" s="35"/>
      <c r="F21" s="35"/>
      <c r="G21" s="34"/>
      <c r="H21" s="34"/>
      <c r="I21" s="35"/>
      <c r="J21" s="147" cm="1">
        <f t="array" ref="J21">J20+G21</f>
        <v>633273.75</v>
      </c>
    </row>
    <row r="22" ht="13.55" customHeight="1">
      <c r="A22" s="9"/>
      <c r="B22" s="112"/>
      <c r="C22" s="98"/>
      <c r="D22" s="98"/>
      <c r="E22" s="35"/>
      <c r="F22" s="35"/>
      <c r="G22" s="34"/>
      <c r="H22" s="34"/>
      <c r="I22" s="35"/>
      <c r="J22" s="147" cm="1">
        <f t="array" ref="J22">J21+G22</f>
        <v>633273.75</v>
      </c>
    </row>
    <row r="23" ht="13.55" customHeight="1">
      <c r="A23" s="9"/>
      <c r="B23" s="112"/>
      <c r="C23" s="98"/>
      <c r="D23" s="98"/>
      <c r="E23" s="35"/>
      <c r="F23" s="35"/>
      <c r="G23" s="34"/>
      <c r="H23" s="34"/>
      <c r="I23" s="35"/>
      <c r="J23" s="147" cm="1">
        <f t="array" ref="J23">J22+G23</f>
        <v>633273.75</v>
      </c>
    </row>
    <row r="24" ht="13.55" customHeight="1">
      <c r="A24" s="9"/>
      <c r="B24" s="112"/>
      <c r="C24" s="98"/>
      <c r="D24" s="98"/>
      <c r="E24" s="35"/>
      <c r="F24" s="35"/>
      <c r="G24" s="34"/>
      <c r="H24" s="34"/>
      <c r="I24" s="35"/>
      <c r="J24" s="147" cm="1">
        <f t="array" ref="J24">J23+H24</f>
        <v>633273.75</v>
      </c>
    </row>
    <row r="25" ht="13.55" customHeight="1">
      <c r="A25" s="9"/>
      <c r="B25" s="112"/>
      <c r="C25" s="98"/>
      <c r="D25" s="98"/>
      <c r="E25" s="35"/>
      <c r="F25" s="35"/>
      <c r="G25" s="34"/>
      <c r="H25" s="34"/>
      <c r="I25" s="35"/>
      <c r="J25" s="147" cm="1">
        <f t="array" ref="J25">J24+G25</f>
        <v>633273.75</v>
      </c>
    </row>
    <row r="26" ht="13.55" customHeight="1">
      <c r="A26" s="9"/>
      <c r="B26" s="112"/>
      <c r="C26" s="98"/>
      <c r="D26" s="98"/>
      <c r="E26" s="35"/>
      <c r="F26" s="35"/>
      <c r="G26" s="34"/>
      <c r="H26" s="34"/>
      <c r="I26" s="35"/>
      <c r="J26" s="147" cm="1">
        <f t="array" ref="J26">J25+G26</f>
        <v>633273.75</v>
      </c>
    </row>
    <row r="27" ht="13.55" customHeight="1">
      <c r="A27" s="9"/>
      <c r="B27" s="112"/>
      <c r="C27" s="98"/>
      <c r="D27" s="98"/>
      <c r="E27" s="35"/>
      <c r="F27" s="35"/>
      <c r="G27" s="34"/>
      <c r="H27" s="34"/>
      <c r="I27" s="35"/>
      <c r="J27" s="147" cm="1">
        <f t="array" ref="J27">J26+G27</f>
        <v>633273.75</v>
      </c>
    </row>
    <row r="28" ht="13.55" customHeight="1">
      <c r="A28" s="9"/>
      <c r="B28" s="112"/>
      <c r="C28" s="98"/>
      <c r="D28" s="98"/>
      <c r="E28" s="35"/>
      <c r="F28" s="35"/>
      <c r="G28" s="34"/>
      <c r="H28" s="34"/>
      <c r="I28" s="35"/>
      <c r="J28" s="147" cm="1">
        <f t="array" ref="J28">J27+G28</f>
        <v>633273.75</v>
      </c>
    </row>
    <row r="29" ht="13.55" customHeight="1">
      <c r="A29" s="9"/>
      <c r="B29" s="112"/>
      <c r="C29" s="98"/>
      <c r="D29" s="98"/>
      <c r="E29" s="35"/>
      <c r="F29" s="35"/>
      <c r="G29" s="34"/>
      <c r="H29" s="34"/>
      <c r="I29" s="35"/>
      <c r="J29" s="147" cm="1">
        <f t="array" ref="J29">J28+G29</f>
        <v>633273.75</v>
      </c>
    </row>
    <row r="30" ht="13.55" customHeight="1">
      <c r="A30" s="9"/>
      <c r="B30" s="112"/>
      <c r="C30" s="98"/>
      <c r="D30" s="98"/>
      <c r="E30" s="35"/>
      <c r="F30" s="35"/>
      <c r="G30" s="34"/>
      <c r="H30" s="34"/>
      <c r="I30" s="35"/>
      <c r="J30" s="147" cm="1">
        <f t="array" ref="J30">J29+G30</f>
        <v>633273.75</v>
      </c>
    </row>
    <row r="31" ht="13.55" customHeight="1">
      <c r="A31" s="7"/>
      <c r="B31" s="118"/>
      <c r="C31" s="98"/>
      <c r="D31" s="98"/>
      <c r="E31" s="35"/>
      <c r="F31" s="35"/>
      <c r="G31" s="34"/>
      <c r="H31" s="34"/>
      <c r="I31" s="35"/>
      <c r="J31" s="147"/>
    </row>
    <row r="32" ht="13.55" customHeight="1">
      <c r="A32" s="7"/>
      <c r="B32" s="118"/>
      <c r="C32" s="98"/>
      <c r="D32" s="98"/>
      <c r="E32" s="35"/>
      <c r="F32" s="35"/>
      <c r="G32" s="34"/>
      <c r="H32" s="34"/>
      <c r="I32" s="35"/>
      <c r="J32" s="147"/>
    </row>
    <row r="33" ht="13.55" customHeight="1">
      <c r="A33" s="79"/>
      <c r="B33" s="101"/>
      <c r="C33" s="98"/>
      <c r="D33" s="98"/>
      <c r="E33" s="35"/>
      <c r="F33" s="101"/>
      <c r="G33" s="34"/>
      <c r="H33" s="34"/>
      <c r="I33" s="34"/>
      <c r="J33" s="147"/>
    </row>
    <row r="34" ht="13.55" customHeight="1">
      <c r="A34" s="79"/>
      <c r="B34" s="101">
        <v>45931</v>
      </c>
      <c r="C34" s="101"/>
      <c r="D34" t="s" s="19">
        <v>368</v>
      </c>
      <c r="E34" t="s" s="80">
        <v>343</v>
      </c>
      <c r="F34" t="s" s="80">
        <v>344</v>
      </c>
      <c r="G34" s="34"/>
      <c r="H34" s="34"/>
      <c r="I34" s="34">
        <v>7466.78</v>
      </c>
      <c r="J34" s="147" cm="1">
        <f t="array" ref="J34">J30-I34</f>
        <v>625806.97</v>
      </c>
    </row>
    <row r="35" ht="13.55" customHeight="1">
      <c r="A35" s="79"/>
      <c r="B35" s="101">
        <v>45940</v>
      </c>
      <c r="C35" s="101"/>
      <c r="D35" t="s" s="19">
        <v>368</v>
      </c>
      <c r="E35" t="s" s="80">
        <v>345</v>
      </c>
      <c r="F35" t="s" s="80">
        <v>346</v>
      </c>
      <c r="G35" s="34"/>
      <c r="H35" s="34"/>
      <c r="I35" s="34">
        <v>4640</v>
      </c>
      <c r="J35" s="147" cm="1">
        <f t="array" ref="J35">J34-I35</f>
        <v>621166.97</v>
      </c>
    </row>
    <row r="36" ht="13.55" customHeight="1">
      <c r="A36" s="79"/>
      <c r="B36" s="101">
        <v>45943</v>
      </c>
      <c r="C36" s="101"/>
      <c r="D36" t="s" s="19">
        <v>368</v>
      </c>
      <c r="E36" t="s" s="80">
        <v>287</v>
      </c>
      <c r="F36" t="s" s="80">
        <v>347</v>
      </c>
      <c r="G36" s="34"/>
      <c r="H36" s="34"/>
      <c r="I36" s="34">
        <v>10000</v>
      </c>
      <c r="J36" s="147" cm="1">
        <f t="array" ref="J36">J35-I36</f>
        <v>611166.97</v>
      </c>
    </row>
    <row r="37" ht="13.55" customHeight="1">
      <c r="A37" s="79"/>
      <c r="B37" s="101">
        <v>45944</v>
      </c>
      <c r="C37" s="101"/>
      <c r="D37" t="s" s="19">
        <v>368</v>
      </c>
      <c r="E37" t="s" s="80">
        <v>301</v>
      </c>
      <c r="F37" t="s" s="80">
        <v>269</v>
      </c>
      <c r="G37" s="34"/>
      <c r="H37" s="34"/>
      <c r="I37" s="34">
        <v>13502.08</v>
      </c>
      <c r="J37" s="147" cm="1">
        <f t="array" ref="J37">J36-I37</f>
        <v>597664.89</v>
      </c>
    </row>
    <row r="38" ht="13.55" customHeight="1">
      <c r="A38" s="79"/>
      <c r="B38" s="101">
        <v>45944</v>
      </c>
      <c r="C38" s="101"/>
      <c r="D38" t="s" s="19">
        <v>368</v>
      </c>
      <c r="E38" t="s" s="80">
        <v>99</v>
      </c>
      <c r="F38" t="s" s="80">
        <v>348</v>
      </c>
      <c r="G38" s="34"/>
      <c r="H38" s="34"/>
      <c r="I38" s="34">
        <v>11.6</v>
      </c>
      <c r="J38" s="147" cm="1">
        <f t="array" ref="J38">J37-I38</f>
        <v>597653.29</v>
      </c>
    </row>
    <row r="39" ht="13.55" customHeight="1">
      <c r="A39" s="79"/>
      <c r="B39" s="101">
        <v>45947</v>
      </c>
      <c r="C39" s="101"/>
      <c r="D39" t="s" s="19">
        <v>368</v>
      </c>
      <c r="E39" t="s" s="80">
        <v>99</v>
      </c>
      <c r="F39" t="s" s="80">
        <v>282</v>
      </c>
      <c r="G39" s="34"/>
      <c r="H39" s="34"/>
      <c r="I39" s="34">
        <v>946</v>
      </c>
      <c r="J39" s="147" cm="1">
        <f t="array" ref="J39">J38-I39</f>
        <v>596707.29</v>
      </c>
    </row>
    <row r="40" ht="13.55" customHeight="1">
      <c r="A40" s="9"/>
      <c r="B40" s="112">
        <v>45947</v>
      </c>
      <c r="C40" s="101"/>
      <c r="D40" t="s" s="19">
        <v>368</v>
      </c>
      <c r="E40" t="s" s="80">
        <v>99</v>
      </c>
      <c r="F40" t="s" s="80">
        <v>274</v>
      </c>
      <c r="G40" s="34"/>
      <c r="H40" s="34"/>
      <c r="I40" s="34">
        <v>151.36</v>
      </c>
      <c r="J40" s="147" cm="1">
        <f t="array" ref="J40">J39-I40</f>
        <v>596555.9300000001</v>
      </c>
    </row>
    <row r="41" ht="13.55" customHeight="1">
      <c r="A41" s="9"/>
      <c r="B41" s="112">
        <v>45947</v>
      </c>
      <c r="C41" s="101"/>
      <c r="D41" t="s" s="19">
        <v>368</v>
      </c>
      <c r="E41" t="s" s="80">
        <v>99</v>
      </c>
      <c r="F41" t="s" s="80">
        <v>349</v>
      </c>
      <c r="G41" s="34"/>
      <c r="H41" s="34"/>
      <c r="I41" s="34">
        <v>136.8</v>
      </c>
      <c r="J41" s="147" cm="1">
        <f t="array" ref="J41">J40-I41</f>
        <v>596419.13</v>
      </c>
    </row>
    <row r="42" ht="13.55" customHeight="1">
      <c r="A42" s="9"/>
      <c r="B42" s="112">
        <v>45947</v>
      </c>
      <c r="C42" s="101"/>
      <c r="D42" t="s" s="19">
        <v>368</v>
      </c>
      <c r="E42" t="s" s="80">
        <v>99</v>
      </c>
      <c r="F42" t="s" s="80">
        <v>350</v>
      </c>
      <c r="G42" s="34"/>
      <c r="H42" s="34"/>
      <c r="I42" s="34">
        <v>21.88</v>
      </c>
      <c r="J42" s="147" cm="1">
        <f t="array" ref="J42">J41-I42</f>
        <v>596397.25</v>
      </c>
    </row>
    <row r="43" ht="13.55" customHeight="1">
      <c r="A43" s="9"/>
      <c r="B43" s="112">
        <v>45947</v>
      </c>
      <c r="C43" s="101"/>
      <c r="D43" t="s" s="19">
        <v>368</v>
      </c>
      <c r="E43" t="s" s="80">
        <v>99</v>
      </c>
      <c r="F43" t="s" s="80">
        <v>351</v>
      </c>
      <c r="G43" s="34"/>
      <c r="H43" s="34"/>
      <c r="I43" s="34">
        <v>576.73</v>
      </c>
      <c r="J43" s="147" cm="1">
        <f t="array" ref="J43">J42-I43</f>
        <v>595820.52</v>
      </c>
    </row>
    <row r="44" ht="13.55" customHeight="1">
      <c r="A44" s="9"/>
      <c r="B44" s="112">
        <v>45947</v>
      </c>
      <c r="C44" s="101"/>
      <c r="D44" t="s" s="19">
        <v>368</v>
      </c>
      <c r="E44" t="s" s="80">
        <v>99</v>
      </c>
      <c r="F44" t="s" s="80">
        <v>325</v>
      </c>
      <c r="G44" s="34"/>
      <c r="H44" s="34"/>
      <c r="I44" s="34">
        <v>92.28</v>
      </c>
      <c r="J44" s="147" cm="1">
        <f t="array" ref="J44">J43-I44</f>
        <v>595728.24</v>
      </c>
    </row>
    <row r="45" ht="13.55" customHeight="1">
      <c r="A45" s="9"/>
      <c r="B45" s="112">
        <v>45947</v>
      </c>
      <c r="C45" s="101"/>
      <c r="D45" t="s" s="19">
        <v>368</v>
      </c>
      <c r="E45" t="s" s="80">
        <v>337</v>
      </c>
      <c r="F45" t="s" s="80">
        <v>352</v>
      </c>
      <c r="G45" s="34"/>
      <c r="H45" s="34"/>
      <c r="I45" s="34">
        <v>15486</v>
      </c>
      <c r="J45" s="147" cm="1">
        <f t="array" ref="J45">J44-I45</f>
        <v>580242.24</v>
      </c>
    </row>
    <row r="46" ht="13.55" customHeight="1">
      <c r="A46" s="9"/>
      <c r="B46" s="112">
        <v>45947</v>
      </c>
      <c r="C46" s="101"/>
      <c r="D46" t="s" s="19">
        <v>368</v>
      </c>
      <c r="E46" t="s" s="80">
        <v>353</v>
      </c>
      <c r="F46" t="s" s="80">
        <v>354</v>
      </c>
      <c r="G46" s="34"/>
      <c r="H46" s="34"/>
      <c r="I46" s="34">
        <v>140000</v>
      </c>
      <c r="J46" s="147" cm="1">
        <f t="array" ref="J46">J45-I46</f>
        <v>440242.24</v>
      </c>
    </row>
    <row r="47" ht="13.55" customHeight="1">
      <c r="A47" s="9"/>
      <c r="B47" s="112">
        <v>45951</v>
      </c>
      <c r="C47" s="101"/>
      <c r="D47" t="s" s="19">
        <v>368</v>
      </c>
      <c r="E47" t="s" s="80">
        <v>355</v>
      </c>
      <c r="F47" t="s" s="80">
        <v>347</v>
      </c>
      <c r="G47" s="34"/>
      <c r="H47" s="34"/>
      <c r="I47" s="34">
        <v>5000</v>
      </c>
      <c r="J47" s="147" cm="1">
        <f t="array" ref="J47">J46-I47</f>
        <v>435242.24</v>
      </c>
    </row>
    <row r="48" ht="13.55" customHeight="1">
      <c r="A48" s="9"/>
      <c r="B48" s="112">
        <v>45954</v>
      </c>
      <c r="C48" s="101"/>
      <c r="D48" t="s" s="19">
        <v>368</v>
      </c>
      <c r="E48" t="s" s="80">
        <v>356</v>
      </c>
      <c r="F48" t="s" s="80">
        <v>357</v>
      </c>
      <c r="G48" s="34"/>
      <c r="H48" s="34"/>
      <c r="I48" s="34">
        <v>17400</v>
      </c>
      <c r="J48" s="147" cm="1">
        <f t="array" ref="J48">J47-I48</f>
        <v>417842.24</v>
      </c>
    </row>
    <row r="49" ht="13.55" customHeight="1">
      <c r="A49" s="9"/>
      <c r="B49" s="112">
        <v>45954</v>
      </c>
      <c r="C49" s="101"/>
      <c r="D49" t="s" s="19">
        <v>368</v>
      </c>
      <c r="E49" t="s" s="80">
        <v>356</v>
      </c>
      <c r="F49" t="s" s="80">
        <v>358</v>
      </c>
      <c r="G49" s="34"/>
      <c r="H49" s="34"/>
      <c r="I49" s="34">
        <v>26100</v>
      </c>
      <c r="J49" s="147" cm="1">
        <f t="array" ref="J49">J48-I49</f>
        <v>391742.24</v>
      </c>
    </row>
    <row r="50" ht="13.55" customHeight="1">
      <c r="A50" s="9"/>
      <c r="B50" s="112">
        <v>45958</v>
      </c>
      <c r="C50" s="101"/>
      <c r="D50" t="s" s="19">
        <v>368</v>
      </c>
      <c r="E50" t="s" s="80">
        <v>359</v>
      </c>
      <c r="F50" t="s" s="80">
        <v>360</v>
      </c>
      <c r="G50" s="34"/>
      <c r="H50" s="34"/>
      <c r="I50" s="34">
        <v>5151.13</v>
      </c>
      <c r="J50" s="147" cm="1">
        <f t="array" ref="J50">J49-I50</f>
        <v>386591.11</v>
      </c>
    </row>
    <row r="51" ht="13.55" customHeight="1">
      <c r="A51" s="9"/>
      <c r="B51" s="112">
        <v>45960</v>
      </c>
      <c r="C51" s="101"/>
      <c r="D51" t="s" s="19">
        <v>368</v>
      </c>
      <c r="E51" t="s" s="80">
        <v>197</v>
      </c>
      <c r="F51" t="s" s="80">
        <v>269</v>
      </c>
      <c r="G51" s="34"/>
      <c r="H51" s="34"/>
      <c r="I51" s="34">
        <v>13973.13</v>
      </c>
      <c r="J51" s="147" cm="1">
        <f t="array" ref="J51">J50-I51</f>
        <v>372617.98</v>
      </c>
    </row>
    <row r="52" ht="13.55" customHeight="1">
      <c r="A52" s="9"/>
      <c r="B52" s="112"/>
      <c r="C52" s="101"/>
      <c r="D52" s="101"/>
      <c r="E52" s="35"/>
      <c r="F52" s="35"/>
      <c r="G52" s="34"/>
      <c r="H52" s="34"/>
      <c r="I52" s="34"/>
      <c r="J52" s="147" cm="1">
        <f t="array" ref="J52">J51-I52</f>
        <v>372617.98</v>
      </c>
    </row>
    <row r="53" ht="13.55" customHeight="1">
      <c r="A53" s="9"/>
      <c r="B53" s="112"/>
      <c r="C53" s="101"/>
      <c r="D53" s="101"/>
      <c r="E53" s="35"/>
      <c r="F53" s="35"/>
      <c r="G53" s="34"/>
      <c r="H53" s="34"/>
      <c r="I53" s="34"/>
      <c r="J53" s="147"/>
    </row>
    <row r="54" ht="13.55" customHeight="1">
      <c r="A54" s="9"/>
      <c r="B54" s="112"/>
      <c r="C54" s="101"/>
      <c r="D54" s="101"/>
      <c r="E54" s="35"/>
      <c r="F54" s="35"/>
      <c r="G54" s="34"/>
      <c r="H54" s="34"/>
      <c r="I54" s="34"/>
      <c r="J54" s="147"/>
    </row>
    <row r="55" ht="13.55" customHeight="1">
      <c r="A55" s="9"/>
      <c r="B55" s="112"/>
      <c r="C55" s="101"/>
      <c r="D55" s="101"/>
      <c r="E55" s="35"/>
      <c r="F55" s="35"/>
      <c r="G55" s="34"/>
      <c r="H55" s="34"/>
      <c r="I55" s="34"/>
      <c r="J55" s="147"/>
    </row>
    <row r="56" ht="13.55" customHeight="1">
      <c r="A56" s="9"/>
      <c r="B56" s="112"/>
      <c r="C56" s="101"/>
      <c r="D56" s="101"/>
      <c r="E56" s="35"/>
      <c r="F56" s="35"/>
      <c r="G56" s="34"/>
      <c r="H56" s="34"/>
      <c r="I56" s="34"/>
      <c r="J56" s="147"/>
    </row>
    <row r="57" ht="13.55" customHeight="1">
      <c r="A57" s="9"/>
      <c r="B57" s="112"/>
      <c r="C57" s="101"/>
      <c r="D57" s="101"/>
      <c r="E57" s="35"/>
      <c r="F57" s="35"/>
      <c r="G57" s="34"/>
      <c r="H57" s="34"/>
      <c r="I57" s="34"/>
      <c r="J57" s="147"/>
    </row>
    <row r="58" ht="13.55" customHeight="1">
      <c r="A58" s="9"/>
      <c r="B58" s="112"/>
      <c r="C58" s="101"/>
      <c r="D58" s="101"/>
      <c r="E58" s="35"/>
      <c r="F58" s="35"/>
      <c r="G58" s="34"/>
      <c r="H58" s="34"/>
      <c r="I58" s="34"/>
      <c r="J58" s="147"/>
    </row>
    <row r="59" ht="13.55" customHeight="1">
      <c r="A59" s="9"/>
      <c r="B59" s="112"/>
      <c r="C59" s="101"/>
      <c r="D59" s="101"/>
      <c r="E59" s="35"/>
      <c r="F59" s="35"/>
      <c r="G59" s="34"/>
      <c r="H59" s="34"/>
      <c r="I59" s="34"/>
      <c r="J59" t="s" s="176">
        <v>8</v>
      </c>
    </row>
    <row r="60" ht="13.55" customHeight="1">
      <c r="A60" s="9"/>
      <c r="B60" s="112"/>
      <c r="C60" s="101"/>
      <c r="D60" s="101"/>
      <c r="E60" s="35"/>
      <c r="F60" s="35"/>
      <c r="G60" s="34"/>
      <c r="H60" s="34"/>
      <c r="I60" s="34"/>
      <c r="J60" t="s" s="176">
        <v>8</v>
      </c>
    </row>
    <row r="61" ht="13.55" customHeight="1">
      <c r="A61" s="9"/>
      <c r="B61" s="112"/>
      <c r="C61" s="35"/>
      <c r="D61" s="35"/>
      <c r="E61" s="34"/>
      <c r="F61" s="35"/>
      <c r="G61" s="34" cm="1">
        <f t="array" ref="G61">SUM(G6:G59)</f>
        <v>78050</v>
      </c>
      <c r="H61" s="34" cm="1">
        <f t="array" ref="H61">SUM(H6:H59)</f>
        <v>3000</v>
      </c>
      <c r="I61" s="34"/>
      <c r="J61" s="147"/>
    </row>
    <row r="62" ht="15.75" customHeight="1">
      <c r="A62" s="9"/>
      <c r="B62" s="112"/>
      <c r="C62" s="35"/>
      <c r="D62" s="35"/>
      <c r="E62" s="34"/>
      <c r="F62" s="35"/>
      <c r="G62" t="s" s="80">
        <v>8</v>
      </c>
      <c r="H62" s="150" cm="1">
        <f t="array" ref="H62">H61+G61</f>
        <v>81050</v>
      </c>
      <c r="I62" s="150" cm="1">
        <f t="array" ref="I62">SUM(I34:I61)</f>
        <v>260655.77</v>
      </c>
      <c r="J62" s="151"/>
    </row>
    <row r="63" ht="14.05" customHeight="1">
      <c r="A63" s="9"/>
      <c r="B63" s="177"/>
      <c r="C63" s="22"/>
      <c r="D63" s="22"/>
      <c r="E63" t="s" s="23">
        <v>8</v>
      </c>
      <c r="F63" s="196">
        <v>0</v>
      </c>
      <c r="G63" t="s" s="24">
        <v>8</v>
      </c>
      <c r="H63" t="s" s="153">
        <v>371</v>
      </c>
      <c r="I63" t="s" s="154">
        <v>8</v>
      </c>
      <c r="J63" t="s" s="155">
        <v>372</v>
      </c>
    </row>
    <row r="64" ht="13.55" customHeight="1">
      <c r="A64" s="9"/>
      <c r="B64" s="178"/>
      <c r="C64" s="7"/>
      <c r="D64" s="7"/>
      <c r="E64" t="s" s="185">
        <v>373</v>
      </c>
      <c r="F64" s="186" cm="1">
        <f t="array" ref="F64">500+500+500+750+500+500+1000</f>
        <v>4250</v>
      </c>
      <c r="G64" t="s" s="187">
        <v>8</v>
      </c>
      <c r="H64" t="s" s="25">
        <v>374</v>
      </c>
      <c r="I64" s="157">
        <v>46800</v>
      </c>
      <c r="J64" s="158">
        <v>47300</v>
      </c>
    </row>
    <row r="65" ht="13.55" customHeight="1">
      <c r="A65" s="9"/>
      <c r="B65" s="178"/>
      <c r="C65" s="7"/>
      <c r="D65" s="7"/>
      <c r="E65" t="s" s="26">
        <v>375</v>
      </c>
      <c r="F65" s="188" cm="1">
        <f t="array" ref="F65">58350-F64</f>
        <v>54100</v>
      </c>
      <c r="G65" t="s" s="156">
        <v>8</v>
      </c>
      <c r="H65" t="s" s="159">
        <v>376</v>
      </c>
      <c r="I65" s="160">
        <v>11550</v>
      </c>
      <c r="J65" s="161">
        <v>19550</v>
      </c>
    </row>
    <row r="66" ht="13.55" customHeight="1">
      <c r="A66" s="9"/>
      <c r="B66" s="178"/>
      <c r="C66" s="7"/>
      <c r="D66" s="7"/>
      <c r="E66" t="s" s="26">
        <v>377</v>
      </c>
      <c r="F66" s="157" cm="1">
        <f t="array" ref="F66">G8+G9+G11+G12+G17</f>
        <v>4000</v>
      </c>
      <c r="G66" t="s" s="156">
        <v>8</v>
      </c>
      <c r="H66" t="s" s="159">
        <v>378</v>
      </c>
      <c r="I66" s="160">
        <v>8000</v>
      </c>
      <c r="J66" s="203">
        <v>7200</v>
      </c>
    </row>
    <row r="67" ht="13.55" customHeight="1">
      <c r="A67" s="9"/>
      <c r="B67" s="178"/>
      <c r="C67" s="7"/>
      <c r="D67" s="7"/>
      <c r="E67" t="s" s="185">
        <v>57</v>
      </c>
      <c r="F67" s="186" cm="1">
        <f t="array" ref="F67">H61</f>
        <v>3000</v>
      </c>
      <c r="G67" t="s" s="187">
        <v>8</v>
      </c>
      <c r="H67" t="s" s="159">
        <v>399</v>
      </c>
      <c r="I67" s="160">
        <v>7700</v>
      </c>
      <c r="J67" s="163"/>
    </row>
    <row r="68" ht="13.55" customHeight="1">
      <c r="A68" s="9"/>
      <c r="B68" s="178"/>
      <c r="C68" s="7"/>
      <c r="D68" s="7"/>
      <c r="E68" t="s" s="185">
        <v>381</v>
      </c>
      <c r="F68" s="186">
        <v>0</v>
      </c>
      <c r="G68" t="s" s="187">
        <v>8</v>
      </c>
      <c r="H68" t="s" s="25">
        <v>8</v>
      </c>
      <c r="I68" s="164"/>
      <c r="J68" s="158"/>
    </row>
    <row r="69" ht="15.75" customHeight="1">
      <c r="A69" s="9"/>
      <c r="B69" s="178"/>
      <c r="C69" s="7"/>
      <c r="D69" s="7"/>
      <c r="E69" t="s" s="26">
        <v>384</v>
      </c>
      <c r="F69" s="188" cm="1">
        <f t="array" ref="F69">7700+8000</f>
        <v>15700</v>
      </c>
      <c r="G69" t="s" s="156">
        <v>8</v>
      </c>
      <c r="H69" t="s" s="165">
        <v>8</v>
      </c>
      <c r="I69" s="166" cm="1">
        <f t="array" ref="I69">I67+I66+I65+I64</f>
        <v>74050</v>
      </c>
      <c r="J69" s="167" cm="1">
        <f t="array" ref="J69">J67+J66+J65+J64</f>
        <v>74050</v>
      </c>
    </row>
    <row r="70" ht="15.75" customHeight="1">
      <c r="A70" s="9"/>
      <c r="B70" s="178"/>
      <c r="C70" s="7"/>
      <c r="D70" s="7"/>
      <c r="E70" t="s" s="192">
        <v>396</v>
      </c>
      <c r="F70" s="144">
        <v>0</v>
      </c>
      <c r="G70" t="s" s="26">
        <v>8</v>
      </c>
      <c r="H70" t="s" s="168">
        <v>8</v>
      </c>
      <c r="I70" s="78"/>
      <c r="J70" s="169"/>
    </row>
    <row r="71" ht="15.75" customHeight="1">
      <c r="A71" s="9"/>
      <c r="B71" s="179"/>
      <c r="C71" s="8"/>
      <c r="D71" s="8"/>
      <c r="E71" t="s" s="204">
        <v>8</v>
      </c>
      <c r="F71" s="170" cm="1">
        <f t="array" ref="F71">H62-F63-F64-F65-F66-F67-F69</f>
        <v>0</v>
      </c>
      <c r="G71" t="s" s="192">
        <v>8</v>
      </c>
      <c r="H71" s="170"/>
      <c r="I71" s="8"/>
      <c r="J71" s="17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5" customHeight="1" outlineLevelRow="0" outlineLevelCol="0"/>
  <cols>
    <col min="1" max="5" width="10.8516" style="205" customWidth="1"/>
    <col min="6" max="16384" width="10.8516" style="205" customWidth="1"/>
  </cols>
  <sheetData>
    <row r="1" ht="13.55" customHeight="1">
      <c r="A1" s="7"/>
      <c r="B1" s="7"/>
      <c r="C1" s="7"/>
      <c r="D1" s="7"/>
      <c r="E1" s="7"/>
    </row>
    <row r="2" ht="13.55" customHeight="1">
      <c r="A2" s="7"/>
      <c r="B2" s="7"/>
      <c r="C2" s="7"/>
      <c r="D2" s="7"/>
      <c r="E2" s="7"/>
    </row>
    <row r="3" ht="13.55" customHeight="1">
      <c r="A3" s="7"/>
      <c r="B3" s="7"/>
      <c r="C3" s="7"/>
      <c r="D3" s="7"/>
      <c r="E3" s="7"/>
    </row>
    <row r="4" ht="13.55" customHeight="1">
      <c r="A4" s="7"/>
      <c r="B4" s="7"/>
      <c r="C4" s="7"/>
      <c r="D4" s="7"/>
      <c r="E4" s="7"/>
    </row>
    <row r="5" ht="13.55" customHeight="1">
      <c r="A5" s="7"/>
      <c r="B5" s="7"/>
      <c r="C5" s="7"/>
      <c r="D5" s="7"/>
      <c r="E5" s="7"/>
    </row>
    <row r="6" ht="13.55" customHeight="1">
      <c r="A6" s="7"/>
      <c r="B6" s="7"/>
      <c r="C6" s="7"/>
      <c r="D6" s="7"/>
      <c r="E6" s="7"/>
    </row>
    <row r="7" ht="13.55" customHeight="1">
      <c r="A7" s="7"/>
      <c r="B7" s="7"/>
      <c r="C7" s="7"/>
      <c r="D7" s="7"/>
      <c r="E7" s="7"/>
    </row>
    <row r="8" ht="13.55" customHeight="1">
      <c r="A8" s="7"/>
      <c r="B8" s="7"/>
      <c r="C8" s="7"/>
      <c r="D8" s="7"/>
      <c r="E8" s="7"/>
    </row>
    <row r="9" ht="13.55" customHeight="1">
      <c r="A9" s="7"/>
      <c r="B9" s="7"/>
      <c r="C9" s="7"/>
      <c r="D9" s="7"/>
      <c r="E9" s="7"/>
    </row>
    <row r="10" ht="13.55" customHeight="1">
      <c r="A10" s="7"/>
      <c r="B10" s="7"/>
      <c r="C10" s="7"/>
      <c r="D10" s="7"/>
      <c r="E10"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5" customHeight="1" outlineLevelRow="0" outlineLevelCol="0"/>
  <cols>
    <col min="1" max="5" width="10.8516" style="206" customWidth="1"/>
    <col min="6" max="16384" width="10.8516" style="206" customWidth="1"/>
  </cols>
  <sheetData>
    <row r="1" ht="13.55" customHeight="1">
      <c r="A1" s="7"/>
      <c r="B1" s="7"/>
      <c r="C1" s="7"/>
      <c r="D1" s="7"/>
      <c r="E1" s="7"/>
    </row>
    <row r="2" ht="13.55" customHeight="1">
      <c r="A2" s="7"/>
      <c r="B2" s="7"/>
      <c r="C2" s="7"/>
      <c r="D2" s="7"/>
      <c r="E2" s="7"/>
    </row>
    <row r="3" ht="13.55" customHeight="1">
      <c r="A3" s="7"/>
      <c r="B3" s="7"/>
      <c r="C3" s="7"/>
      <c r="D3" s="7"/>
      <c r="E3" s="7"/>
    </row>
    <row r="4" ht="13.55" customHeight="1">
      <c r="A4" s="7"/>
      <c r="B4" s="7"/>
      <c r="C4" s="7"/>
      <c r="D4" s="7"/>
      <c r="E4" s="7"/>
    </row>
    <row r="5" ht="13.55" customHeight="1">
      <c r="A5" s="7"/>
      <c r="B5" s="7"/>
      <c r="C5" s="7"/>
      <c r="D5" s="7"/>
      <c r="E5" s="7"/>
    </row>
    <row r="6" ht="13.55" customHeight="1">
      <c r="A6" s="7"/>
      <c r="B6" s="7"/>
      <c r="C6" s="7"/>
      <c r="D6" s="7"/>
      <c r="E6" s="7"/>
    </row>
    <row r="7" ht="13.55" customHeight="1">
      <c r="A7" s="7"/>
      <c r="B7" s="7"/>
      <c r="C7" s="7"/>
      <c r="D7" s="7"/>
      <c r="E7" s="7"/>
    </row>
    <row r="8" ht="13.55" customHeight="1">
      <c r="A8" s="7"/>
      <c r="B8" s="7"/>
      <c r="C8" s="7"/>
      <c r="D8" s="7"/>
      <c r="E8" s="7"/>
    </row>
    <row r="9" ht="13.55" customHeight="1">
      <c r="A9" s="7"/>
      <c r="B9" s="7"/>
      <c r="C9" s="7"/>
      <c r="D9" s="7"/>
      <c r="E9" s="7"/>
    </row>
    <row r="10" ht="13.55" customHeight="1">
      <c r="A10" s="7"/>
      <c r="B10" s="7"/>
      <c r="C10" s="7"/>
      <c r="D10" s="7"/>
      <c r="E10"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